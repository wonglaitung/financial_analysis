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5468" windowHeight="10584" tabRatio="654"/>
  </bookViews>
  <sheets>
    <sheet name="OIC input for DSR cal" sheetId="4" r:id="rId1"/>
    <sheet name="OIC input for cashflow" sheetId="7" r:id="rId2"/>
  </sheets>
  <definedNames>
    <definedName name="_xlnm.Print_Area" localSheetId="1">'OIC input for cashflow'!$A$1:$X$73</definedName>
    <definedName name="_xlnm.Print_Area" localSheetId="0">'OIC input for DSR cal'!$A$1:$J$65</definedName>
    <definedName name="_xlnm.Print_Titles" localSheetId="1">'OIC input for cashflow'!$A:$C,'OIC input for cashflow'!$1:$7</definedName>
  </definedNames>
  <calcPr calcId="144525"/>
</workbook>
</file>

<file path=xl/comments1.xml><?xml version="1.0" encoding="utf-8"?>
<comments xmlns="http://schemas.openxmlformats.org/spreadsheetml/2006/main">
  <authors>
    <author>ICBC (Asia)</author>
    <author>gyyz-corasmng</author>
    <author>User</author>
  </authors>
  <commentList>
    <comment ref="C13" authorId="0">
      <text>
        <r>
          <rPr>
            <sz val="8"/>
            <rFont val="Tahoma"/>
            <charset val="134"/>
          </rPr>
          <t>please provide latest audited FS or unaudited FS with prepared reason like new operation.</t>
        </r>
      </text>
    </comment>
    <comment ref="C15" authorId="0">
      <text>
        <r>
          <rPr>
            <sz val="8"/>
            <rFont val="Tahoma"/>
            <charset val="134"/>
          </rPr>
          <t xml:space="preserve">if N, please provide annualized figure
</t>
        </r>
      </text>
    </comment>
    <comment ref="C20" authorId="0">
      <text>
        <r>
          <rPr>
            <sz val="8"/>
            <rFont val="Tahoma"/>
            <charset val="134"/>
          </rPr>
          <t xml:space="preserve">input loan o/s w/ other banks &amp; ICBCA, 
</t>
        </r>
        <r>
          <rPr>
            <sz val="9"/>
            <rFont val="Arial"/>
            <charset val="0"/>
          </rPr>
          <t xml:space="preserve">1. standalone o/s or 
2. aggregated total (weighted interest rate should provided)
</t>
        </r>
      </text>
    </comment>
    <comment ref="C21" authorId="0">
      <text>
        <r>
          <rPr>
            <sz val="9"/>
            <rFont val="Arial"/>
            <charset val="0"/>
          </rPr>
          <t>input:
1. standalone interest rate or 
2. weighted interest rate (with formula provide to support required)</t>
        </r>
      </text>
    </comment>
    <comment ref="I21" authorId="1">
      <text>
        <r>
          <rPr>
            <sz val="8"/>
            <rFont val="Tahoma"/>
            <charset val="134"/>
          </rPr>
          <t xml:space="preserve">weighted average interest rate
</t>
        </r>
      </text>
    </comment>
    <comment ref="C22" authorId="0">
      <text>
        <r>
          <rPr>
            <sz val="9"/>
            <rFont val="Tahoma"/>
            <charset val="134"/>
          </rPr>
          <t>principal repayment p.a.</t>
        </r>
      </text>
    </comment>
    <comment ref="C24" authorId="2">
      <text>
        <r>
          <rPr>
            <sz val="9"/>
            <rFont val="Arial"/>
            <charset val="0"/>
          </rPr>
          <t>Input total Bonds / Notes outstanding</t>
        </r>
      </text>
    </comment>
    <comment ref="C25" authorId="2">
      <text>
        <r>
          <rPr>
            <sz val="9"/>
            <rFont val="Arial"/>
            <charset val="0"/>
          </rPr>
          <t>Input weighted average interest or coupon rate</t>
        </r>
      </text>
    </comment>
    <comment ref="I25" authorId="1">
      <text>
        <r>
          <rPr>
            <sz val="8"/>
            <rFont val="Tahoma"/>
            <charset val="134"/>
          </rPr>
          <t xml:space="preserve">weighted average interest rate
</t>
        </r>
      </text>
    </comment>
    <comment ref="C28" authorId="0">
      <text>
        <r>
          <rPr>
            <sz val="8"/>
            <rFont val="Tahoma"/>
            <charset val="134"/>
          </rPr>
          <t xml:space="preserve">Revolving loan limit with all banks
</t>
        </r>
        <r>
          <rPr>
            <sz val="9"/>
            <rFont val="Tahoma"/>
            <charset val="134"/>
          </rPr>
          <t xml:space="preserve">1. standalone input or
2. aggregate total with weighted interest rate
</t>
        </r>
      </text>
    </comment>
    <comment ref="C29" authorId="0">
      <text>
        <r>
          <rPr>
            <sz val="9"/>
            <rFont val="Tahoma"/>
            <charset val="134"/>
          </rPr>
          <t>input:
1. standalone interest rate or 
2. weighted interest rate (with formula provide to support required)</t>
        </r>
      </text>
    </comment>
    <comment ref="I29" authorId="1">
      <text>
        <r>
          <rPr>
            <b/>
            <sz val="8"/>
            <rFont val="Tahoma"/>
            <charset val="134"/>
          </rPr>
          <t>weighted average interest rate</t>
        </r>
        <r>
          <rPr>
            <sz val="8"/>
            <rFont val="Tahoma"/>
            <charset val="134"/>
          </rPr>
          <t xml:space="preserve">
</t>
        </r>
      </text>
    </comment>
    <comment ref="I34" authorId="1">
      <text>
        <r>
          <rPr>
            <sz val="8"/>
            <rFont val="Tahoma"/>
            <charset val="134"/>
          </rPr>
          <t xml:space="preserve">weighted average interest rate
</t>
        </r>
      </text>
    </comment>
    <comment ref="I38" authorId="1">
      <text>
        <r>
          <rPr>
            <sz val="8"/>
            <rFont val="Tahoma"/>
            <charset val="134"/>
          </rPr>
          <t xml:space="preserve">weighted average interest rate
</t>
        </r>
      </text>
    </comment>
    <comment ref="I41" authorId="1">
      <text>
        <r>
          <rPr>
            <b/>
            <sz val="8"/>
            <rFont val="Tahoma"/>
            <charset val="134"/>
          </rPr>
          <t>weighted average interest rate</t>
        </r>
      </text>
    </comment>
    <comment ref="C45" authorId="0">
      <text>
        <r>
          <rPr>
            <sz val="8"/>
            <rFont val="Tahoma"/>
            <charset val="134"/>
          </rPr>
          <t>EBITDA fr. latest AFS (line 165 of spreading) or average EBITDA for last 3 yrs depending on the trend analysis on EBITDA by CA.</t>
        </r>
      </text>
    </comment>
  </commentList>
</comments>
</file>

<file path=xl/sharedStrings.xml><?xml version="1.0" encoding="utf-8"?>
<sst xmlns="http://schemas.openxmlformats.org/spreadsheetml/2006/main" count="383" uniqueCount="241">
  <si>
    <t>DSR &amp; Stressed DSR - Basic information</t>
  </si>
  <si>
    <t xml:space="preserve">Borrower: </t>
  </si>
  <si>
    <t xml:space="preserve">Total gp exposure: </t>
  </si>
  <si>
    <t>Propose loan amount:</t>
  </si>
  <si>
    <t>Loan tenor:</t>
  </si>
  <si>
    <t>OIC:</t>
  </si>
  <si>
    <t>CA:</t>
  </si>
  <si>
    <t>Corp Type</t>
  </si>
  <si>
    <t>#1</t>
  </si>
  <si>
    <r>
      <rPr>
        <sz val="10"/>
        <rFont val="Times New Roman"/>
        <charset val="134"/>
      </rPr>
      <t xml:space="preserve">Where applicable, </t>
    </r>
    <r>
      <rPr>
        <b/>
        <u/>
        <sz val="10"/>
        <rFont val="Times New Roman"/>
        <charset val="134"/>
      </rPr>
      <t>both</t>
    </r>
    <r>
      <rPr>
        <sz val="10"/>
        <rFont val="Times New Roman"/>
        <charset val="134"/>
      </rPr>
      <t xml:space="preserve"> cash flow forecast and debt-servicing ability should be conducted simultaneously when providing medium to long term facilities as below:-</t>
    </r>
  </si>
  <si>
    <r>
      <rPr>
        <sz val="10"/>
        <color rgb="FFFF0000"/>
        <rFont val="Times New Roman"/>
        <charset val="134"/>
      </rPr>
      <t xml:space="preserve">1. Sydicated Loan, construction loan, term loan and mortgage loan with tenor &gt; 1 year , including term loan under </t>
    </r>
    <r>
      <rPr>
        <sz val="10"/>
        <color rgb="FFFF0000"/>
        <rFont val="MingLiU"/>
        <charset val="136"/>
      </rPr>
      <t>內保外貸</t>
    </r>
    <r>
      <rPr>
        <sz val="10"/>
        <color rgb="FFFF0000"/>
        <rFont val="Times New Roman"/>
        <charset val="134"/>
      </rPr>
      <t>. For cashflow forecast, it should cover the whole period of loan life.</t>
    </r>
  </si>
  <si>
    <t>Source of financial information:</t>
  </si>
  <si>
    <t>Historical DSR:</t>
  </si>
  <si>
    <t>Note</t>
  </si>
  <si>
    <t>Remarks:</t>
  </si>
  <si>
    <t>Type of statement:</t>
  </si>
  <si>
    <t>#2</t>
  </si>
  <si>
    <t>Latest Financial:</t>
  </si>
  <si>
    <t>#3</t>
  </si>
  <si>
    <t>from:</t>
  </si>
  <si>
    <t>to:</t>
  </si>
  <si>
    <t>Full Year:</t>
  </si>
  <si>
    <t>#4</t>
  </si>
  <si>
    <t>Currency:</t>
  </si>
  <si>
    <t>#5</t>
  </si>
  <si>
    <t>Debt Financing:</t>
  </si>
  <si>
    <t>Existing Debt</t>
  </si>
  <si>
    <t xml:space="preserve">LN1 </t>
  </si>
  <si>
    <t xml:space="preserve">LN2 </t>
  </si>
  <si>
    <t xml:space="preserve">LN3 </t>
  </si>
  <si>
    <t xml:space="preserve">LN4 </t>
  </si>
  <si>
    <t xml:space="preserve">LN5 </t>
  </si>
  <si>
    <t xml:space="preserve">LN6 </t>
  </si>
  <si>
    <t>Sub-total</t>
  </si>
  <si>
    <t>Assumption &amp; Justifications (please also marks your calculation):</t>
  </si>
  <si>
    <t xml:space="preserve">Existing LT Term Debt obligation </t>
  </si>
  <si>
    <t>#6</t>
  </si>
  <si>
    <t>Interest rate of Term Debt</t>
  </si>
  <si>
    <t>#7</t>
  </si>
  <si>
    <t>LT Term Loan principal repaid p.a.</t>
  </si>
  <si>
    <t>Bonds &amp; Notes</t>
  </si>
  <si>
    <t>#8</t>
  </si>
  <si>
    <t>Interest Rate / Coupon rate</t>
  </si>
  <si>
    <t>Bonds &amp; Notes maturing within 12 months</t>
  </si>
  <si>
    <t>ST / Revolving loan limit</t>
  </si>
  <si>
    <t>Interest rate of revolver</t>
  </si>
  <si>
    <t>New Debt</t>
  </si>
  <si>
    <t>Term Loan obligation</t>
  </si>
  <si>
    <t>#9</t>
  </si>
  <si>
    <t>Interest rate of Tern Loan</t>
  </si>
  <si>
    <t>#10</t>
  </si>
  <si>
    <t>Loan principal repaid p.a.</t>
  </si>
  <si>
    <t>Base case</t>
  </si>
  <si>
    <t xml:space="preserve">Stressed </t>
  </si>
  <si>
    <t>Assumption</t>
  </si>
  <si>
    <t>EBITDA</t>
  </si>
  <si>
    <t>#11</t>
  </si>
  <si>
    <t>discount on base EBITDA (ie 90% of base EBITDA)</t>
  </si>
  <si>
    <t>Add-on interest rate under stressed</t>
  </si>
  <si>
    <t>#12</t>
  </si>
  <si>
    <t>NA</t>
  </si>
  <si>
    <t>#1: Input "0" for SME &amp; Trading &amp; "1" for Corporates &amp; Manufacturing</t>
  </si>
  <si>
    <t>#2: Latest audited statement. Unaudited / draft statement are acceptable if the audited statements are not available.</t>
  </si>
  <si>
    <t>#3: Input latest financial year end ie 31 Dec 2022 &amp; input financial period starts and end dates under remarks</t>
  </si>
  <si>
    <t>#4: Input "Y" for full year statement, otherwise, "N". For financial period covered not equal to 12 months, P&amp;L for Latest AFS in the "OIC input for cash flow forecast" worksheet have to be adjusted manually to reflect annualised figures.</t>
  </si>
  <si>
    <t>#5: Currency should be the reported currency as per audited statements</t>
  </si>
  <si>
    <t>#6: OIC should try to obtain facilities letter or declaration from borrower on total GBF, interest rate &amp; repayment schedule with other lenders. If information is available. input standalone LN obligation one by one or otherwise, aggregated loan obligation from latest audited F/S. All outstanding term debt (&gt; than 1 year) and bonds including current portion long term debt and bonds, shall be input into respective item under “Existing Debt” section. Current portion long term debt disclosed in the financial statement or long term debt to be repaid within 12 months as per loan repayment schedule shall be input into “Term Loan Principal Repaid p.a.” and “Bonds &amp; Notes maturing within 12 months” respectively. If there has been refinancing arrangement, revised repayment could only be input herewith with completed refinancing activities during the current financial year. Short term debt shall be input under ST Revolving loan section. Given the nature of revolving loan, one can assume all short term debt to be roll-over unless OIC has knowledge of banks exiting the banking relationship with the Borrower / Group. For mortgage installment loan, assumed principal repayment shall be after deduction of interest payment ie monthly installment x 12 mths - interest (current loan o/s x interest rate)</t>
  </si>
  <si>
    <t>#7: Input corresponding interest rate for each LN / Bond or weighted average interest rate for aggregated loan amount.</t>
  </si>
  <si>
    <t>#8: Input all the bonds issued or aggregate bond outstanding as per details disclosed in latest audited F/S.</t>
  </si>
  <si>
    <t>#9: Input proposed new debt by product type, ie term debt, Bond &amp; notes or ST revolver. For syndicated / club loan, total facility amount (not just our portion) shall be input herewith</t>
  </si>
  <si>
    <t>#10: Input actual interest rate of the new debt</t>
  </si>
  <si>
    <r>
      <rPr>
        <sz val="10"/>
        <rFont val="Times New Roman"/>
        <charset val="134"/>
      </rPr>
      <t xml:space="preserve">#11. EBITDA = NP + int. + tax + depreciation + amort. of F.A. –/+  non-recurrent items. For volatile EBITDA over the last 3 financial years, weighted average EBITDA could be a substitute. For stress case, </t>
    </r>
    <r>
      <rPr>
        <b/>
        <sz val="18"/>
        <color rgb="FF800000"/>
        <rFont val="Times New Roman"/>
        <charset val="134"/>
      </rPr>
      <t>10%</t>
    </r>
    <r>
      <rPr>
        <sz val="10"/>
        <rFont val="Times New Roman"/>
        <charset val="134"/>
      </rPr>
      <t xml:space="preserve"> discount on EBITDA (ie 90% of base EBITDA) will be the bank's basic requirement. OIC should provide justification if other than 10% discount on EBITDA under stressed case.</t>
    </r>
  </si>
  <si>
    <r>
      <rPr>
        <sz val="10"/>
        <rFont val="Times New Roman"/>
        <charset val="134"/>
      </rPr>
      <t xml:space="preserve">#12: Interest rate of stressed DSR= existing interest rate </t>
    </r>
    <r>
      <rPr>
        <b/>
        <sz val="16"/>
        <color rgb="FF800000"/>
        <rFont val="Times New Roman"/>
        <charset val="134"/>
      </rPr>
      <t>+2%</t>
    </r>
    <r>
      <rPr>
        <sz val="10"/>
        <rFont val="Times New Roman"/>
        <charset val="134"/>
      </rPr>
      <t xml:space="preserve"> (as per latest guideline). OIC and CA could upward adjust the discount rate for stress case with justifications.</t>
    </r>
  </si>
  <si>
    <t>Audited</t>
  </si>
  <si>
    <t>Unaudited</t>
  </si>
  <si>
    <t>Y</t>
  </si>
  <si>
    <t>N</t>
  </si>
  <si>
    <t xml:space="preserve">OIC input basic information for cashflow forecast </t>
  </si>
  <si>
    <t>Period:</t>
  </si>
  <si>
    <t xml:space="preserve">Basic Information: </t>
  </si>
  <si>
    <t>Latest AFS</t>
  </si>
  <si>
    <t>Yr 1</t>
  </si>
  <si>
    <t>Yr. 2</t>
  </si>
  <si>
    <t>Yr 3</t>
  </si>
  <si>
    <t>Yr. 4</t>
  </si>
  <si>
    <t>Yr. 5</t>
  </si>
  <si>
    <t>Yr. 6</t>
  </si>
  <si>
    <t>Yr. 7</t>
  </si>
  <si>
    <t>Yr. 8</t>
  </si>
  <si>
    <t>Yr. 9</t>
  </si>
  <si>
    <t>Yr. 10</t>
  </si>
  <si>
    <t>Yr. 11</t>
  </si>
  <si>
    <t>Yr. 12</t>
  </si>
  <si>
    <t>Stressed</t>
  </si>
  <si>
    <t xml:space="preserve">Assumption </t>
  </si>
  <si>
    <t>FYE</t>
  </si>
  <si>
    <t>Sales &amp; growth rate (%) in coming years</t>
  </si>
  <si>
    <t>Current &amp; forecast Gross Profit Margin ("GPM" in %) in coming years</t>
  </si>
  <si>
    <t>Current &amp; forecast Depreciation/Amortization charged to COGS (absolute amount)</t>
  </si>
  <si>
    <t>Operating expenses in absolute amount (excluding depreciation &amp; amortization) &amp; growth rate (%) in coming years</t>
  </si>
  <si>
    <t>Current &amp; forecast Depreciation / Amortization (excluding charged in COGS) absolute amt in coming years</t>
  </si>
  <si>
    <t>Investment/rental income &amp; its absolute amt in coming years</t>
  </si>
  <si>
    <t xml:space="preserve">  of which non-cash investment income </t>
  </si>
  <si>
    <t>Share of contributions from associates or JV (P/L items) &amp; its absolute amount in coming years</t>
  </si>
  <si>
    <t xml:space="preserve">Dividend received from Associates or JV (absolute amt, from CF statement) &amp; its absolute amt in the coming years </t>
  </si>
  <si>
    <t>Dividend receivable (B/S item) &amp; its absolute amount in coming years</t>
  </si>
  <si>
    <t>All other non-operating income &amp; growth rate in coming years</t>
  </si>
  <si>
    <t>All other non-operating expenditure &amp; growth rate in coming years</t>
  </si>
  <si>
    <t>Current &amp; forecast Tax expense rate (% of pre-tax NP) in coming years</t>
  </si>
  <si>
    <t>Current &amp; forecast Dividends payout rate (% of NP) in coming years</t>
  </si>
  <si>
    <t>#13</t>
  </si>
  <si>
    <t>Current &amp; forecast Dividends payable (B/S item) absolute amt in coming years</t>
  </si>
  <si>
    <t>#14</t>
  </si>
  <si>
    <t>Current &amp; forecast Bad debt provision / exp (% of sales) in coming years</t>
  </si>
  <si>
    <t>#15</t>
  </si>
  <si>
    <t>Debtors' t/o (days)</t>
  </si>
  <si>
    <t>#16</t>
  </si>
  <si>
    <t>Debtors (absolute amt)</t>
  </si>
  <si>
    <t>#17</t>
  </si>
  <si>
    <t>Inventory t/o (days)</t>
  </si>
  <si>
    <t>#18</t>
  </si>
  <si>
    <t>Inventory (absolute amt)</t>
  </si>
  <si>
    <t>#19</t>
  </si>
  <si>
    <t>Creditors' t/o (days)</t>
  </si>
  <si>
    <t>#20</t>
  </si>
  <si>
    <t>Creditor (absolute amt)</t>
  </si>
  <si>
    <t>#21</t>
  </si>
  <si>
    <t>CAPEX (absolute amt)</t>
  </si>
  <si>
    <t>#22</t>
  </si>
  <si>
    <r>
      <rPr>
        <sz val="10"/>
        <rFont val="Times New Roman"/>
        <charset val="134"/>
      </rPr>
      <t>Cape</t>
    </r>
    <r>
      <rPr>
        <sz val="10"/>
        <rFont val="宋体"/>
        <charset val="134"/>
      </rPr>
      <t xml:space="preserve">x </t>
    </r>
    <r>
      <rPr>
        <sz val="10"/>
        <rFont val="Times New Roman"/>
        <charset val="134"/>
      </rPr>
      <t>Financing Ratio</t>
    </r>
  </si>
  <si>
    <t>Estimated useful life of CAPEX (number of years)</t>
  </si>
  <si>
    <t>#23</t>
  </si>
  <si>
    <t>Additional Depreciation for CAPEX (for Corp)</t>
  </si>
  <si>
    <t>Additional Depreciation for CAPEX (for Corp - stressed)</t>
  </si>
  <si>
    <t>Additional Depreciation for CAPEX (for SME / trading)</t>
  </si>
  <si>
    <t>Additional Depreciation for CAPEX (for SME / trading - stressed)</t>
  </si>
  <si>
    <t>Acquisition of investment (absolute amt, fm CF statement)</t>
  </si>
  <si>
    <t>#24</t>
  </si>
  <si>
    <t>Proceeds of disposal of FA/investment (absolute amt, fm CF statement))</t>
  </si>
  <si>
    <t>#25</t>
  </si>
  <si>
    <t>all other current assets (absolute amt) in coming years</t>
  </si>
  <si>
    <t>#26</t>
  </si>
  <si>
    <t>all other current liabilities (absolute amt) in coming years</t>
  </si>
  <si>
    <t>#27</t>
  </si>
  <si>
    <t>interco claim (absolute amt)</t>
  </si>
  <si>
    <t>#28</t>
  </si>
  <si>
    <t>interco debt (absolute amt)</t>
  </si>
  <si>
    <t>#29</t>
  </si>
  <si>
    <t>all other long term assets (absolute amt) in coming years</t>
  </si>
  <si>
    <t>#30</t>
  </si>
  <si>
    <t>all other long term liabilities (absolute amt) in coming years</t>
  </si>
  <si>
    <t>#31</t>
  </si>
  <si>
    <t>Net Proceed of capital issue (absolute amt) in coming years</t>
  </si>
  <si>
    <t>#32</t>
  </si>
  <si>
    <t>Proceed from new bond issue (absolute amt) in coming years</t>
  </si>
  <si>
    <t>#33</t>
  </si>
  <si>
    <t>Bond Repayment</t>
  </si>
  <si>
    <t>#34</t>
  </si>
  <si>
    <t>Cash balance c/f</t>
  </si>
  <si>
    <t>#35</t>
  </si>
  <si>
    <t>New Debt (excluding Capex financing)</t>
  </si>
  <si>
    <t>#36</t>
  </si>
  <si>
    <t>New Debt - Capex Financing</t>
  </si>
  <si>
    <t>#37</t>
  </si>
  <si>
    <t>Repayment of Capex Financing</t>
  </si>
  <si>
    <t>#38</t>
  </si>
  <si>
    <t>Principal repayment of new debt (excluding Capex repayment)</t>
  </si>
  <si>
    <t>#39</t>
  </si>
  <si>
    <t>Principal repayment - existing debt (absolute amt)</t>
  </si>
  <si>
    <t>#40</t>
  </si>
  <si>
    <t>weighted avg. interest rate or the highest interest rate</t>
  </si>
  <si>
    <t>#41</t>
  </si>
  <si>
    <t>Working:</t>
  </si>
  <si>
    <t>Period</t>
  </si>
  <si>
    <t>Yr. 1</t>
  </si>
  <si>
    <t>Yr. 3</t>
  </si>
  <si>
    <t>Assumption:</t>
  </si>
  <si>
    <t>debt b/f</t>
  </si>
  <si>
    <t xml:space="preserve">New debt </t>
  </si>
  <si>
    <t>New Bond Issuance</t>
  </si>
  <si>
    <t>(Bond repayment)</t>
  </si>
  <si>
    <t>(Repayment of Capex Financing)</t>
  </si>
  <si>
    <t>(Principal repayment of new debt)</t>
  </si>
  <si>
    <t>(Principal repayment of existing debt)</t>
  </si>
  <si>
    <t>debt c/f</t>
  </si>
  <si>
    <t>#42</t>
  </si>
  <si>
    <t>Cpex Financing (stressed)</t>
  </si>
  <si>
    <t>(Repayment of Capex Financing - stressed)</t>
  </si>
  <si>
    <t>debt c/f (stressed)</t>
  </si>
  <si>
    <t>Interest paid under base case (Error if negative figure)</t>
  </si>
  <si>
    <t>#43</t>
  </si>
  <si>
    <t>Interest paid under stressed case</t>
  </si>
  <si>
    <r>
      <rPr>
        <b/>
        <u/>
        <sz val="11"/>
        <rFont val="Times New Roman"/>
        <charset val="134"/>
      </rPr>
      <t xml:space="preserve">Supplementary Notes to OIC, please also </t>
    </r>
    <r>
      <rPr>
        <b/>
        <u/>
        <sz val="11"/>
        <color rgb="FFFF0000"/>
        <rFont val="Times New Roman"/>
        <charset val="134"/>
      </rPr>
      <t>refer to "Cash Flow Forecast Template Guide" for details</t>
    </r>
  </si>
  <si>
    <r>
      <rPr>
        <sz val="11"/>
        <rFont val="Times New Roman"/>
        <charset val="134"/>
      </rPr>
      <t xml:space="preserve">OIC should provide the assumptions for the projection. </t>
    </r>
    <r>
      <rPr>
        <b/>
        <sz val="11"/>
        <color rgb="FF00B050"/>
        <rFont val="Times New Roman"/>
        <charset val="134"/>
      </rPr>
      <t xml:space="preserve">Rationale and justification </t>
    </r>
    <r>
      <rPr>
        <b/>
        <sz val="11"/>
        <rFont val="Times New Roman"/>
        <charset val="134"/>
      </rPr>
      <t>for all the assumption have to be duly documented under the "</t>
    </r>
    <r>
      <rPr>
        <b/>
        <sz val="11"/>
        <color rgb="FF00B050"/>
        <rFont val="Times New Roman"/>
        <charset val="134"/>
      </rPr>
      <t>Assumption</t>
    </r>
    <r>
      <rPr>
        <b/>
        <sz val="11"/>
        <rFont val="Times New Roman"/>
        <charset val="134"/>
      </rPr>
      <t>" column</t>
    </r>
  </si>
  <si>
    <r>
      <rPr>
        <sz val="12"/>
        <rFont val="Times New Roman"/>
        <charset val="134"/>
      </rPr>
      <t xml:space="preserve">All forecast figures could be referred to last </t>
    </r>
    <r>
      <rPr>
        <b/>
        <sz val="12"/>
        <rFont val="Times New Roman"/>
        <charset val="134"/>
      </rPr>
      <t>3 years average</t>
    </r>
    <r>
      <rPr>
        <sz val="12"/>
        <rFont val="Times New Roman"/>
        <charset val="134"/>
      </rPr>
      <t xml:space="preserve"> if the figures are volatile or </t>
    </r>
    <r>
      <rPr>
        <b/>
        <sz val="12"/>
        <rFont val="Times New Roman"/>
        <charset val="134"/>
      </rPr>
      <t xml:space="preserve">last year actual rate </t>
    </r>
    <r>
      <rPr>
        <sz val="12"/>
        <rFont val="Times New Roman"/>
        <charset val="134"/>
      </rPr>
      <t>with stable uptrend or downtrend.</t>
    </r>
  </si>
  <si>
    <t xml:space="preserve">#1: Sales referred to income generated from core business and shall refer to Turnover (Net sales) from the spreadsheets' PLinput. Sales growth rate shall make reference to histroical rates and trends while other factors that might affect the future sales shall also be considered. </t>
  </si>
  <si>
    <t>#2: Actual GPM shall refer to that of the spreadsheets. Projected GPM could be based on historical margin and trend. Any key factors that might have potential impact over GPM shall also be taken into account.</t>
  </si>
  <si>
    <r>
      <rPr>
        <sz val="10"/>
        <rFont val="Times New Roman"/>
        <charset val="134"/>
      </rPr>
      <t xml:space="preserve">#3: Depreciation charged to </t>
    </r>
    <r>
      <rPr>
        <sz val="10"/>
        <color rgb="FF0070C0"/>
        <rFont val="Times New Roman"/>
        <charset val="134"/>
      </rPr>
      <t xml:space="preserve">Cost of Goods Sold </t>
    </r>
    <r>
      <rPr>
        <sz val="10"/>
        <rFont val="Times New Roman"/>
        <charset val="134"/>
      </rPr>
      <t>("COGS") shall referred to Row 11 of the spreadsheets' PLinput. For production and manufacturing companies, signifcant depreciation would be charged to COGS. Future Depreciation could be assumed flat herewith as additional depreciaton would be calculated from the Capex.</t>
    </r>
  </si>
  <si>
    <r>
      <rPr>
        <sz val="10"/>
        <rFont val="Times New Roman"/>
        <charset val="134"/>
      </rPr>
      <t xml:space="preserve">#4: Operating expenses (including selling and distribution expenses, staff expenses / fringe benefits, directors' remuneration, operating &amp; admin expenses, rents and rates, R&amp;D expenses and other expenses) shall be in absolute amount. </t>
    </r>
    <r>
      <rPr>
        <b/>
        <sz val="10"/>
        <color rgb="FF0070C0"/>
        <rFont val="Times New Roman"/>
        <charset val="134"/>
      </rPr>
      <t xml:space="preserve">Forecast shall be presented as a growth percentage (%) </t>
    </r>
    <r>
      <rPr>
        <sz val="10"/>
        <color rgb="FF0070C0"/>
        <rFont val="Times New Roman"/>
        <charset val="134"/>
      </rPr>
      <t>to the actual.</t>
    </r>
  </si>
  <si>
    <r>
      <rPr>
        <sz val="10"/>
        <rFont val="Times New Roman"/>
        <charset val="134"/>
      </rPr>
      <t xml:space="preserve">#5: Depreciation charged to </t>
    </r>
    <r>
      <rPr>
        <sz val="10"/>
        <color rgb="FF0070C0"/>
        <rFont val="Times New Roman"/>
        <charset val="134"/>
      </rPr>
      <t>Operating Expenses</t>
    </r>
    <r>
      <rPr>
        <sz val="10"/>
        <color rgb="FF00B050"/>
        <rFont val="Times New Roman"/>
        <charset val="134"/>
      </rPr>
      <t xml:space="preserve"> </t>
    </r>
    <r>
      <rPr>
        <sz val="10"/>
        <rFont val="Times New Roman"/>
        <charset val="134"/>
      </rPr>
      <t>shall referred to Row 34 of the spreadsheets' PLinput. In the case where no breakdown of depreciaton expenses provided, one shall decide the input in accordance to the Borrower / Group's business nature. Future Depreciation could be assumed flat herewith as additional depreciaton would be calculated from the Capex.</t>
    </r>
  </si>
  <si>
    <t>#6: Investment/ rental income could be provided herewith. Only if recurrent income recorded for past 3 years, it could be applied for the projection. Situation where high volatility noticed,3-year weighted average or the least contribution over the past 3 FYs should be applied. If any non-cash investment income forming part of the investment  / rental income record in former row (Row 14, deatils check breakdown in financial statement), the sum of non-cash investment income shall be recorded in "non-cash investment income" which is in Row 15 herewith</t>
  </si>
  <si>
    <t>#7: Input herewith shall take into consideration if the contribution is recurrent as well as the contribution trend. Any disposal or new associates / JV invested during the financial year that might impact the contribution to the group shall be considered.</t>
  </si>
  <si>
    <t>#8: The data shall be obtained from cash flow statement and projection in the coming years shall base on the recurrence of the dividend. 3-yr weighted average shall be considered if the dividend income is volatile.</t>
  </si>
  <si>
    <t>#9: Given dividend payment from associates / JV or investments would be subject to commercial decision, for simplicity, could assume staying flat or set to zero.</t>
  </si>
  <si>
    <t>#10: This includes interest income, government subsidy / grants, fair value gain on assets, disposal gains from fixed assets, investments, subsidiaries as well as associates and JVs, FX gains and any other income such as management fee.Apart from trend analysis, all non-recurrent components should be taken out for the forecast.</t>
  </si>
  <si>
    <t xml:space="preserve">#11: All other non-operating expenses include impairment loss on assets, write down on asset value, FX loss, disposal loss from fixed assets, investments, subsidiaries as well as associates and JVs, and any other non-recurrent losses.Special attention shall be given on the asset impairment and FX loss trend in the forecast. </t>
  </si>
  <si>
    <t>#12: Tax rate (%) is tax expenses over pre-tax profit.Unless stable tax rate could be traced over the last 3 financial years, otherwise, weighted average tax rate shall be considered for the forecast. In the case where the Borrower / Group has entered new markets, contribution from and tax rate of the new market should be considered.</t>
  </si>
  <si>
    <t>#13: Dividend payout rate (%) is dividend paid over net profit. Future dividend ratio shall not only consider the historical dividend payout ratio but also the Borrower / group’s dividend payout policy / strategy.</t>
  </si>
  <si>
    <t xml:space="preserve">#14: Dividend payable refers to B/S. </t>
  </si>
  <si>
    <t>#15:  Bad debt provision herewith is to be input as a percentage of sales.Factors such as the Borrower's provision policy, buyer's credibility and macroeconomic conditions especially where there is substantial economic downturn, shall be considered for the projection. When there is substantial economic downturn which triggered significant sales drop, one should consider using actual provision amount and calculate into new provision rate based on the projected sales</t>
  </si>
  <si>
    <t>#16: Debtors' t/o (days) can be obtained from spreadsheet's Key Financial Ratio". Projected T/O days shall be in line with the credit terms offered or the historical T/O days whichever is more conservative. 3-year weighted average could be considered if high volatility is noticed from the past trend.</t>
  </si>
  <si>
    <t>#17: Debtors shall be the sum of account receivables, trade receivables and bills receivables.</t>
  </si>
  <si>
    <t>#18: Inventory t/o (days) please refer to "Key Financial Ratio" of financial spreadsheet. For projection, production cycle and borrower's inventory stock up policy shall be considered.</t>
  </si>
  <si>
    <t>#19: Inventory shall be the total of raw materials, spare parts, work in progress and finished goods. For companies also engaged in properties development and trading, properties under construction and for sale shall be grouped under inventory.</t>
  </si>
  <si>
    <t>#20: Creditors' t/o (days) data could be obtained from spreadsheet’s “Key Financial Ratio”. Forecast creditors' t/o should refer also to purchase / credit terms granted by suppliers as well as the trend of T/O days in the last 3 financial years</t>
  </si>
  <si>
    <t xml:space="preserve">#21: Creditors which shall be the sum of account payables, trade payables and bills payables </t>
  </si>
  <si>
    <t>#22: Actual capex sum could be extracted from the Borrower's cash flow statement under investing activities. Future CAPEX (including any expansion plan and/or project, regular CAPEX and maintenance etc) and financing plan of the capex in principal shall be obtained from the Borrower / Group. Any additional funded debt might be required to support additional CAPEX.Financing ratio shall be based on the past track record or at least market practice.</t>
  </si>
  <si>
    <t>#23: Estimated useful life shall base on the type of capex acquired / invested. Additional depreciation for CAPEX calculated on straight line method</t>
  </si>
  <si>
    <t>#24: The sum could be traced from the cash flow statement under investing activities. Given investment would be a commercial decision and subject to investment opportunities, one could assume the future investment based on past trend or information provided by the customer in respect of their planned annual investment.</t>
  </si>
  <si>
    <t>#25: The sum could be obtained from the investment activities of the cash flow statement. Assumed proceeds from disposal shall base on its recurrence, otherwise shall assume zero for conservative reason</t>
  </si>
  <si>
    <t>#26: Given all other current assets are not core balance sheet items and would be difficult to project. For simplicity, it could be assumed flat throughout the projected period unless there is any one-off items noted. One shall well explained the movement under assumptions.</t>
  </si>
  <si>
    <t>#27: Same as all other current assets, all other current liabilities could be assumed unchanged for the projected tenor unless one-off payment is noted from the latest AFS which would not be recurrent in the future. Assumption for any movement shall be properly explained.</t>
  </si>
  <si>
    <t xml:space="preserve">#28: Given interco claims could be an internal decision of the Borrower / Group subject to the fund flow, one could assume flat throughout the projected period or follow the past trend where assumption and rationale to the forecast has to be documented. </t>
  </si>
  <si>
    <t>#29: Same as interco claims, interco debt could assume flat throughout the projected period or follow the past trend where assumption and rationale to the forecast has to be documented.</t>
  </si>
  <si>
    <t>#30: All other long term assets could be assumed stable since CAPEX and acquisition of investments have been projected and will be reflected in the forecasted cash flow template. Changes in the projection of this item shall be justified under "Assumption".</t>
  </si>
  <si>
    <t xml:space="preserve">#31: All other long term liabilities could be assumed flat. OIC should provide detail assumption for movement in other long term liabilities. </t>
  </si>
  <si>
    <t>#32: Net proceed received from share issued. Unless the Borrower / Group has recorded recurrent new capital in the latest 3 FYs or the Borrower / Group has made announcement of new share issuance, otherwise, no new capital shall be expected for the projected years for conservative purpose. Input for any new capital issuance shall be documented with justification under "Assumption".</t>
  </si>
  <si>
    <t>#33: For the projection of new bond issuance, one shall take into account of past track record, fund raising activities of the Borrower / Group in the financial market, plans and announcement to the market as well as financing. Assumptions for bond issuance shall be duly justified.</t>
  </si>
  <si>
    <t>#34: Bond repayment shall be in accordance to the bond maturity</t>
  </si>
  <si>
    <t>#35: Cash balance here stated shall be free of any encumbrances. Apart from required input for Latest AFS, projected cash balances are generated automatically after taking into account of cash surplus / deficit generated from projected cash flow.</t>
  </si>
  <si>
    <r>
      <rPr>
        <sz val="10"/>
        <rFont val="Times New Roman"/>
        <charset val="134"/>
      </rPr>
      <t xml:space="preserve">#36: New debt (Revolver + Term) should be taking into consideration of the trend of debt level in the past, any new financing needs for capex and investments, additional working capital needs and refinancing of debt to be repaid etc. Loan tenor shall be considered based on past track record. Assumptions shall be documented and justified. 
</t>
    </r>
    <r>
      <rPr>
        <b/>
        <u/>
        <sz val="10"/>
        <color rgb="FFFF0000"/>
        <rFont val="Times New Roman"/>
        <charset val="134"/>
      </rPr>
      <t>Note: To avoid duplication,new debt under year 1 shall exclude the new debt being input in "OIC input for DSR cal" sheet which sum will be reflected under Latest AFS but will be calculated in Year 1 under working sheet.</t>
    </r>
  </si>
  <si>
    <t xml:space="preserve">#37 Capex Financing would be calculated from the capex to be invested and the assumed financing ratio. </t>
  </si>
  <si>
    <t>#38: Repayment of Capex financing shall taken into consideration of loan tenor, any grace period and the repayment schedule of the existing as well as the new financing (ie capex in year 1 with 5 year loan tenor, the repayment shall be input into 5 years and capex incur in year 2 with 5 year loan tenor, its repayment shall be add on to the repayment of year 1 and spread out for 5 years, and so on)</t>
  </si>
  <si>
    <t>#39: Repayment shall be in accordance to the repayment schedule of the proposed new loanas well as the subsequent new loans input throughout the projected years.</t>
  </si>
  <si>
    <t xml:space="preserve">#40: Repayment of existing debt shall refer to the details disclosed in the “Latest AFS”. </t>
  </si>
  <si>
    <t>#41: For the determination of future interest rate, one shall consider the current market rate, market expectation of interest rate movement, latest interest trend as well as any other factors that might have an impact on the rate movements. Proportion of loan in various currencies shall also be taken into account in the determination of future interest rate.</t>
  </si>
  <si>
    <r>
      <rPr>
        <sz val="10"/>
        <color theme="1"/>
        <rFont val="Times New Roman"/>
        <charset val="134"/>
      </rPr>
      <t xml:space="preserve">#42: Debt c/f should not be </t>
    </r>
    <r>
      <rPr>
        <sz val="10"/>
        <color rgb="FFFF0000"/>
        <rFont val="Times New Roman"/>
        <charset val="134"/>
      </rPr>
      <t>negative</t>
    </r>
    <r>
      <rPr>
        <sz val="10"/>
        <color theme="1"/>
        <rFont val="Times New Roman"/>
        <charset val="134"/>
      </rPr>
      <t xml:space="preserve"> figure. If Error showed in ROW58 and 59, OIC should check the input in bond issuance and repayment, new debt and debt repayments.</t>
    </r>
  </si>
  <si>
    <t>#43: Interest paid calculated based on average loan o/s. For stress case, add on interest rate will base on the input under "OIC input for DSR cal" worksheet.</t>
  </si>
  <si>
    <t>percentage</t>
  </si>
  <si>
    <t>Days</t>
  </si>
  <si>
    <t>years</t>
  </si>
</sst>
</file>

<file path=xl/styles.xml><?xml version="1.0" encoding="utf-8"?>
<styleSheet xmlns="http://schemas.openxmlformats.org/spreadsheetml/2006/main">
  <numFmts count="12">
    <numFmt numFmtId="176" formatCode="_ &quot;￥&quot;* #,##0_ ;_ &quot;￥&quot;* \-#,##0_ ;_ &quot;￥&quot;* &quot;-&quot;_ ;_ @_ "/>
    <numFmt numFmtId="177" formatCode="_(* #,##0_);_(* \(#,##0\);_(* &quot;-&quot;??_);_(@_)"/>
    <numFmt numFmtId="178" formatCode="_ &quot;￥&quot;* #,##0.00_ ;_ &quot;￥&quot;* \-#,##0.00_ ;_ &quot;￥&quot;* &quot;-&quot;??_ ;_ @_ "/>
    <numFmt numFmtId="43" formatCode="_(* #,##0.00_);_(* \(#,##0.00\);_(* &quot;-&quot;??_);_(@_)"/>
    <numFmt numFmtId="179" formatCode="_ * #,##0_ ;_ * \-#,##0_ ;_ * &quot;-&quot;_ ;_ @_ "/>
    <numFmt numFmtId="180" formatCode="[$-409]mmm\-yy;@"/>
    <numFmt numFmtId="181" formatCode="_(* #,##0_);_(* \(#,##0\);_(* &quot;&quot;??_);_(@_)"/>
    <numFmt numFmtId="182" formatCode="#,##0_ "/>
    <numFmt numFmtId="183" formatCode="#,##0_);[Red]\(#,##0\)"/>
    <numFmt numFmtId="184" formatCode="[$-409]d\-mmm;@"/>
    <numFmt numFmtId="185" formatCode="[$$-1009]#,##0"/>
    <numFmt numFmtId="186" formatCode="0_);[Red]\(0\)"/>
  </numFmts>
  <fonts count="55">
    <font>
      <sz val="12"/>
      <name val="新細明體"/>
      <charset val="134"/>
    </font>
    <font>
      <sz val="10"/>
      <name val="Times New Roman"/>
      <charset val="134"/>
    </font>
    <font>
      <sz val="10"/>
      <color theme="1"/>
      <name val="Times New Roman"/>
      <charset val="134"/>
    </font>
    <font>
      <b/>
      <sz val="18"/>
      <name val="Times New Roman"/>
      <charset val="134"/>
    </font>
    <font>
      <sz val="12"/>
      <name val="Times New Roman"/>
      <charset val="134"/>
    </font>
    <font>
      <b/>
      <sz val="10"/>
      <color indexed="12"/>
      <name val="Times New Roman"/>
      <charset val="134"/>
    </font>
    <font>
      <b/>
      <sz val="12"/>
      <color indexed="16"/>
      <name val="Times New Roman"/>
      <charset val="134"/>
    </font>
    <font>
      <b/>
      <u/>
      <sz val="11"/>
      <name val="Times New Roman"/>
      <charset val="134"/>
    </font>
    <font>
      <sz val="11"/>
      <name val="Times New Roman"/>
      <charset val="134"/>
    </font>
    <font>
      <sz val="8"/>
      <name val="Times New Roman"/>
      <charset val="134"/>
    </font>
    <font>
      <sz val="9"/>
      <name val="Times New Roman"/>
      <charset val="134"/>
    </font>
    <font>
      <b/>
      <sz val="10"/>
      <name val="Times New Roman"/>
      <charset val="134"/>
    </font>
    <font>
      <b/>
      <sz val="16"/>
      <name val="Times New Roman"/>
      <charset val="134"/>
    </font>
    <font>
      <sz val="10"/>
      <color rgb="FFFF0000"/>
      <name val="Times New Roman"/>
      <charset val="134"/>
    </font>
    <font>
      <sz val="10"/>
      <color indexed="10"/>
      <name val="Times New Roman"/>
      <charset val="134"/>
    </font>
    <font>
      <sz val="16"/>
      <color indexed="16"/>
      <name val="Times New Roman"/>
      <charset val="134"/>
    </font>
    <font>
      <sz val="6"/>
      <name val="Times New Roman"/>
      <charset val="134"/>
    </font>
    <font>
      <sz val="11"/>
      <color theme="1"/>
      <name val="宋体"/>
      <charset val="0"/>
      <scheme val="minor"/>
    </font>
    <font>
      <sz val="11"/>
      <color rgb="FFFA7D00"/>
      <name val="宋体"/>
      <charset val="0"/>
      <scheme val="minor"/>
    </font>
    <font>
      <sz val="11"/>
      <color rgb="FF3F3F76"/>
      <name val="宋体"/>
      <charset val="0"/>
      <scheme val="minor"/>
    </font>
    <font>
      <sz val="11"/>
      <color theme="1"/>
      <name val="宋体"/>
      <charset val="134"/>
      <scheme val="minor"/>
    </font>
    <font>
      <sz val="11"/>
      <color theme="0"/>
      <name val="宋体"/>
      <charset val="0"/>
      <scheme val="minor"/>
    </font>
    <font>
      <b/>
      <sz val="13"/>
      <color theme="3"/>
      <name val="宋体"/>
      <charset val="134"/>
      <scheme val="minor"/>
    </font>
    <font>
      <b/>
      <sz val="11"/>
      <color rgb="FFFFFFFF"/>
      <name val="宋体"/>
      <charset val="0"/>
      <scheme val="minor"/>
    </font>
    <font>
      <sz val="11"/>
      <color rgb="FF9C0006"/>
      <name val="宋体"/>
      <charset val="0"/>
      <scheme val="minor"/>
    </font>
    <font>
      <u/>
      <sz val="11"/>
      <color rgb="FF0000FF"/>
      <name val="宋体"/>
      <charset val="0"/>
      <scheme val="minor"/>
    </font>
    <font>
      <u/>
      <sz val="11"/>
      <color rgb="FF800080"/>
      <name val="宋体"/>
      <charset val="0"/>
      <scheme val="minor"/>
    </font>
    <font>
      <b/>
      <sz val="11"/>
      <color rgb="FF3F3F3F"/>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1"/>
      <color rgb="FFFA7D00"/>
      <name val="宋体"/>
      <charset val="0"/>
      <scheme val="minor"/>
    </font>
    <font>
      <b/>
      <sz val="11"/>
      <color theme="1"/>
      <name val="宋体"/>
      <charset val="0"/>
      <scheme val="minor"/>
    </font>
    <font>
      <sz val="8"/>
      <name val="Courier (W1)"/>
      <charset val="134"/>
    </font>
    <font>
      <sz val="11"/>
      <color rgb="FF006100"/>
      <name val="宋体"/>
      <charset val="0"/>
      <scheme val="minor"/>
    </font>
    <font>
      <sz val="11"/>
      <color rgb="FF9C6500"/>
      <name val="宋体"/>
      <charset val="0"/>
      <scheme val="minor"/>
    </font>
    <font>
      <sz val="10"/>
      <name val="宋体"/>
      <charset val="134"/>
    </font>
    <font>
      <b/>
      <u/>
      <sz val="11"/>
      <color rgb="FFFF0000"/>
      <name val="Times New Roman"/>
      <charset val="134"/>
    </font>
    <font>
      <b/>
      <sz val="11"/>
      <color rgb="FF00B050"/>
      <name val="Times New Roman"/>
      <charset val="134"/>
    </font>
    <font>
      <b/>
      <sz val="11"/>
      <name val="Times New Roman"/>
      <charset val="134"/>
    </font>
    <font>
      <b/>
      <sz val="12"/>
      <name val="Times New Roman"/>
      <charset val="134"/>
    </font>
    <font>
      <sz val="10"/>
      <color rgb="FF0070C0"/>
      <name val="Times New Roman"/>
      <charset val="134"/>
    </font>
    <font>
      <b/>
      <sz val="10"/>
      <color rgb="FF0070C0"/>
      <name val="Times New Roman"/>
      <charset val="134"/>
    </font>
    <font>
      <sz val="10"/>
      <color rgb="FF00B050"/>
      <name val="Times New Roman"/>
      <charset val="134"/>
    </font>
    <font>
      <b/>
      <u/>
      <sz val="10"/>
      <color rgb="FFFF0000"/>
      <name val="Times New Roman"/>
      <charset val="134"/>
    </font>
    <font>
      <b/>
      <u/>
      <sz val="10"/>
      <name val="Times New Roman"/>
      <charset val="134"/>
    </font>
    <font>
      <sz val="10"/>
      <color rgb="FFFF0000"/>
      <name val="MingLiU"/>
      <charset val="136"/>
    </font>
    <font>
      <b/>
      <sz val="18"/>
      <color rgb="FF800000"/>
      <name val="Times New Roman"/>
      <charset val="134"/>
    </font>
    <font>
      <b/>
      <sz val="16"/>
      <color rgb="FF800000"/>
      <name val="Times New Roman"/>
      <charset val="134"/>
    </font>
    <font>
      <sz val="8"/>
      <name val="Tahoma"/>
      <charset val="134"/>
    </font>
    <font>
      <sz val="9"/>
      <name val="Arial"/>
      <charset val="0"/>
    </font>
    <font>
      <sz val="9"/>
      <name val="Tahoma"/>
      <charset val="134"/>
    </font>
    <font>
      <b/>
      <sz val="8"/>
      <name val="Tahoma"/>
      <charset val="134"/>
    </font>
  </fonts>
  <fills count="37">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43"/>
        <bgColor indexed="64"/>
      </patternFill>
    </fill>
    <fill>
      <patternFill patternType="solid">
        <fgColor rgb="FFFFFF00"/>
        <bgColor indexed="64"/>
      </patternFill>
    </fill>
    <fill>
      <patternFill patternType="solid">
        <fgColor theme="4" tint="0.799981688894314"/>
        <bgColor indexed="64"/>
      </patternFill>
    </fill>
    <fill>
      <patternFill patternType="solid">
        <fgColor rgb="FFFFCC9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A5A5A5"/>
        <bgColor indexed="64"/>
      </patternFill>
    </fill>
    <fill>
      <patternFill patternType="solid">
        <fgColor rgb="FFFFC7CE"/>
        <bgColor indexed="64"/>
      </patternFill>
    </fill>
    <fill>
      <patternFill patternType="solid">
        <fgColor theme="4"/>
        <bgColor indexed="64"/>
      </patternFill>
    </fill>
    <fill>
      <patternFill patternType="solid">
        <fgColor theme="8" tint="0.399975585192419"/>
        <bgColor indexed="64"/>
      </patternFill>
    </fill>
    <fill>
      <patternFill patternType="solid">
        <fgColor rgb="FFFFFFCC"/>
        <bgColor indexed="64"/>
      </patternFill>
    </fill>
    <fill>
      <patternFill patternType="solid">
        <fgColor theme="9" tint="0.599993896298105"/>
        <bgColor indexed="64"/>
      </patternFill>
    </fill>
    <fill>
      <patternFill patternType="solid">
        <fgColor theme="8"/>
        <bgColor indexed="64"/>
      </patternFill>
    </fill>
    <fill>
      <patternFill patternType="solid">
        <fgColor theme="7"/>
        <bgColor indexed="64"/>
      </patternFill>
    </fill>
    <fill>
      <patternFill patternType="solid">
        <fgColor theme="5"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5"/>
        <bgColor indexed="64"/>
      </patternFill>
    </fill>
    <fill>
      <patternFill patternType="solid">
        <fgColor theme="6"/>
        <bgColor indexed="64"/>
      </patternFill>
    </fill>
    <fill>
      <patternFill patternType="solid">
        <fgColor rgb="FFC6EFCE"/>
        <bgColor indexed="64"/>
      </patternFill>
    </fill>
    <fill>
      <patternFill patternType="solid">
        <fgColor rgb="FFFFEB9C"/>
        <bgColor indexed="64"/>
      </patternFill>
    </fill>
    <fill>
      <patternFill patternType="solid">
        <fgColor theme="4" tint="0.599993896298105"/>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style="medium">
        <color auto="1"/>
      </left>
      <right/>
      <top style="medium">
        <color auto="1"/>
      </top>
      <bottom style="thin">
        <color auto="1"/>
      </bottom>
      <diagonal/>
    </border>
  </borders>
  <cellStyleXfs count="50">
    <xf numFmtId="0" fontId="0" fillId="0" borderId="0">
      <alignment vertical="center"/>
    </xf>
    <xf numFmtId="176" fontId="20" fillId="0" borderId="0" applyFont="0" applyFill="0" applyBorder="0" applyAlignment="0" applyProtection="0">
      <alignment vertical="center"/>
    </xf>
    <xf numFmtId="0" fontId="17" fillId="13" borderId="0" applyNumberFormat="0" applyBorder="0" applyAlignment="0" applyProtection="0">
      <alignment vertical="center"/>
    </xf>
    <xf numFmtId="0" fontId="19" fillId="7" borderId="12" applyNumberFormat="0" applyAlignment="0" applyProtection="0">
      <alignment vertical="center"/>
    </xf>
    <xf numFmtId="178" fontId="20" fillId="0" borderId="0" applyFont="0" applyFill="0" applyBorder="0" applyAlignment="0" applyProtection="0">
      <alignment vertical="center"/>
    </xf>
    <xf numFmtId="179" fontId="20" fillId="0" borderId="0" applyFont="0" applyFill="0" applyBorder="0" applyAlignment="0" applyProtection="0">
      <alignment vertical="center"/>
    </xf>
    <xf numFmtId="0" fontId="17" fillId="16" borderId="0" applyNumberFormat="0" applyBorder="0" applyAlignment="0" applyProtection="0">
      <alignment vertical="center"/>
    </xf>
    <xf numFmtId="0" fontId="24" fillId="18" borderId="0" applyNumberFormat="0" applyBorder="0" applyAlignment="0" applyProtection="0">
      <alignment vertical="center"/>
    </xf>
    <xf numFmtId="43" fontId="0" fillId="0" borderId="0" applyFont="0" applyFill="0" applyBorder="0" applyAlignment="0" applyProtection="0">
      <alignment vertical="center"/>
    </xf>
    <xf numFmtId="0" fontId="21" fillId="15" borderId="0" applyNumberFormat="0" applyBorder="0" applyAlignment="0" applyProtection="0">
      <alignment vertical="center"/>
    </xf>
    <xf numFmtId="0" fontId="25" fillId="0" borderId="0" applyNumberFormat="0" applyFill="0" applyBorder="0" applyAlignment="0" applyProtection="0">
      <alignment vertical="center"/>
    </xf>
    <xf numFmtId="9" fontId="2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0" fillId="21" borderId="15" applyNumberFormat="0" applyFont="0" applyAlignment="0" applyProtection="0">
      <alignment vertical="center"/>
    </xf>
    <xf numFmtId="0" fontId="21" fillId="25" borderId="0" applyNumberFormat="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3" applyNumberFormat="0" applyFill="0" applyAlignment="0" applyProtection="0">
      <alignment vertical="center"/>
    </xf>
    <xf numFmtId="0" fontId="22" fillId="0" borderId="13" applyNumberFormat="0" applyFill="0" applyAlignment="0" applyProtection="0">
      <alignment vertical="center"/>
    </xf>
    <xf numFmtId="0" fontId="21" fillId="27" borderId="0" applyNumberFormat="0" applyBorder="0" applyAlignment="0" applyProtection="0">
      <alignment vertical="center"/>
    </xf>
    <xf numFmtId="0" fontId="28" fillId="0" borderId="17" applyNumberFormat="0" applyFill="0" applyAlignment="0" applyProtection="0">
      <alignment vertical="center"/>
    </xf>
    <xf numFmtId="0" fontId="21" fillId="14" borderId="0" applyNumberFormat="0" applyBorder="0" applyAlignment="0" applyProtection="0">
      <alignment vertical="center"/>
    </xf>
    <xf numFmtId="0" fontId="27" fillId="26" borderId="16" applyNumberFormat="0" applyAlignment="0" applyProtection="0">
      <alignment vertical="center"/>
    </xf>
    <xf numFmtId="0" fontId="33" fillId="26" borderId="12" applyNumberFormat="0" applyAlignment="0" applyProtection="0">
      <alignment vertical="center"/>
    </xf>
    <xf numFmtId="0" fontId="23" fillId="17" borderId="14" applyNumberFormat="0" applyAlignment="0" applyProtection="0">
      <alignment vertical="center"/>
    </xf>
    <xf numFmtId="0" fontId="17" fillId="28" borderId="0" applyNumberFormat="0" applyBorder="0" applyAlignment="0" applyProtection="0">
      <alignment vertical="center"/>
    </xf>
    <xf numFmtId="0" fontId="21" fillId="32" borderId="0" applyNumberFormat="0" applyBorder="0" applyAlignment="0" applyProtection="0">
      <alignment vertical="center"/>
    </xf>
    <xf numFmtId="0" fontId="18" fillId="0" borderId="11" applyNumberFormat="0" applyFill="0" applyAlignment="0" applyProtection="0">
      <alignment vertical="center"/>
    </xf>
    <xf numFmtId="0" fontId="34" fillId="0" borderId="18" applyNumberFormat="0" applyFill="0" applyAlignment="0" applyProtection="0">
      <alignment vertical="center"/>
    </xf>
    <xf numFmtId="181" fontId="35" fillId="0" borderId="19" applyFill="0" applyBorder="0" applyProtection="0">
      <alignment shrinkToFit="1"/>
      <protection locked="0"/>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17" fillId="10" borderId="0" applyNumberFormat="0" applyBorder="0" applyAlignment="0" applyProtection="0">
      <alignment vertical="center"/>
    </xf>
    <xf numFmtId="0" fontId="21" fillId="19" borderId="0" applyNumberFormat="0" applyBorder="0" applyAlignment="0" applyProtection="0">
      <alignment vertical="center"/>
    </xf>
    <xf numFmtId="0" fontId="17" fillId="6" borderId="0" applyNumberFormat="0" applyBorder="0" applyAlignment="0" applyProtection="0">
      <alignment vertical="center"/>
    </xf>
    <xf numFmtId="0" fontId="17" fillId="36" borderId="0" applyNumberFormat="0" applyBorder="0" applyAlignment="0" applyProtection="0">
      <alignment vertical="center"/>
    </xf>
    <xf numFmtId="0" fontId="17" fillId="9" borderId="0" applyNumberFormat="0" applyBorder="0" applyAlignment="0" applyProtection="0">
      <alignment vertical="center"/>
    </xf>
    <xf numFmtId="0" fontId="17" fillId="12" borderId="0" applyNumberFormat="0" applyBorder="0" applyAlignment="0" applyProtection="0">
      <alignment vertical="center"/>
    </xf>
    <xf numFmtId="0" fontId="21" fillId="33" borderId="0" applyNumberFormat="0" applyBorder="0" applyAlignment="0" applyProtection="0">
      <alignment vertical="center"/>
    </xf>
    <xf numFmtId="0" fontId="21" fillId="24" borderId="0" applyNumberFormat="0" applyBorder="0" applyAlignment="0" applyProtection="0">
      <alignment vertical="center"/>
    </xf>
    <xf numFmtId="0" fontId="17" fillId="31" borderId="0" applyNumberFormat="0" applyBorder="0" applyAlignment="0" applyProtection="0">
      <alignment vertical="center"/>
    </xf>
    <xf numFmtId="0" fontId="17" fillId="8" borderId="0" applyNumberFormat="0" applyBorder="0" applyAlignment="0" applyProtection="0">
      <alignment vertical="center"/>
    </xf>
    <xf numFmtId="0" fontId="21" fillId="23" borderId="0" applyNumberFormat="0" applyBorder="0" applyAlignment="0" applyProtection="0">
      <alignment vertical="center"/>
    </xf>
    <xf numFmtId="0" fontId="17" fillId="30" borderId="0" applyNumberFormat="0" applyBorder="0" applyAlignment="0" applyProtection="0">
      <alignment vertical="center"/>
    </xf>
    <xf numFmtId="0" fontId="21" fillId="20" borderId="0" applyNumberFormat="0" applyBorder="0" applyAlignment="0" applyProtection="0">
      <alignment vertical="center"/>
    </xf>
    <xf numFmtId="0" fontId="21" fillId="29" borderId="0" applyNumberFormat="0" applyBorder="0" applyAlignment="0" applyProtection="0">
      <alignment vertical="center"/>
    </xf>
    <xf numFmtId="0" fontId="17" fillId="22" borderId="0" applyNumberFormat="0" applyBorder="0" applyAlignment="0" applyProtection="0">
      <alignment vertical="center"/>
    </xf>
    <xf numFmtId="0" fontId="21" fillId="11" borderId="0" applyNumberFormat="0" applyBorder="0" applyAlignment="0" applyProtection="0">
      <alignment vertical="center"/>
    </xf>
  </cellStyleXfs>
  <cellXfs count="164">
    <xf numFmtId="0" fontId="0" fillId="0" borderId="0" xfId="0">
      <alignment vertical="center"/>
    </xf>
    <xf numFmtId="0" fontId="1" fillId="0" borderId="0" xfId="0" applyFont="1" applyProtection="1">
      <alignment vertical="center"/>
      <protection locked="0"/>
    </xf>
    <xf numFmtId="0" fontId="1" fillId="0" borderId="0" xfId="0" applyFont="1" applyFill="1">
      <alignment vertical="center"/>
    </xf>
    <xf numFmtId="0" fontId="1" fillId="0" borderId="0" xfId="0" applyFont="1" applyAlignment="1">
      <alignment vertical="center"/>
    </xf>
    <xf numFmtId="0" fontId="2" fillId="0" borderId="0" xfId="0" applyFont="1" applyAlignment="1">
      <alignment vertical="center"/>
    </xf>
    <xf numFmtId="0" fontId="1" fillId="2" borderId="0" xfId="0" applyFont="1" applyFill="1">
      <alignment vertical="center"/>
    </xf>
    <xf numFmtId="9" fontId="1" fillId="2" borderId="0" xfId="0" applyNumberFormat="1" applyFont="1" applyFill="1">
      <alignment vertical="center"/>
    </xf>
    <xf numFmtId="0" fontId="1" fillId="0" borderId="0" xfId="0" applyFont="1">
      <alignment vertical="center"/>
    </xf>
    <xf numFmtId="0" fontId="3" fillId="0" borderId="0" xfId="0" applyFont="1" applyAlignment="1">
      <alignment horizontal="center" vertical="center"/>
    </xf>
    <xf numFmtId="0" fontId="1" fillId="0" borderId="0" xfId="0" applyFont="1" applyAlignment="1">
      <alignment horizontal="left" vertical="center"/>
    </xf>
    <xf numFmtId="0" fontId="3" fillId="0" borderId="0" xfId="0" applyFont="1">
      <alignment vertical="center"/>
    </xf>
    <xf numFmtId="0" fontId="1" fillId="3" borderId="1" xfId="0" applyFont="1" applyFill="1" applyBorder="1">
      <alignment vertical="center"/>
    </xf>
    <xf numFmtId="0" fontId="1" fillId="3" borderId="2" xfId="0" applyFont="1" applyFill="1" applyBorder="1">
      <alignment vertical="center"/>
    </xf>
    <xf numFmtId="0" fontId="1" fillId="3" borderId="3" xfId="0" applyFont="1" applyFill="1" applyBorder="1">
      <alignment vertical="center"/>
    </xf>
    <xf numFmtId="0" fontId="1" fillId="3" borderId="4" xfId="0" applyFont="1" applyFill="1" applyBorder="1">
      <alignment vertical="center"/>
    </xf>
    <xf numFmtId="180" fontId="1" fillId="3" borderId="4" xfId="0" applyNumberFormat="1" applyFont="1" applyFill="1" applyBorder="1">
      <alignment vertical="center"/>
    </xf>
    <xf numFmtId="17" fontId="1" fillId="4" borderId="4" xfId="0" applyNumberFormat="1" applyFont="1" applyFill="1" applyBorder="1" applyProtection="1">
      <alignment vertical="center"/>
      <protection locked="0"/>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lignment vertical="center"/>
    </xf>
    <xf numFmtId="182" fontId="1" fillId="4" borderId="4" xfId="0" applyNumberFormat="1" applyFont="1" applyFill="1" applyBorder="1" applyProtection="1">
      <alignment vertical="center"/>
      <protection locked="0"/>
    </xf>
    <xf numFmtId="10" fontId="1" fillId="4" borderId="4" xfId="0" applyNumberFormat="1" applyFont="1" applyFill="1" applyBorder="1" applyProtection="1">
      <alignment vertical="center"/>
      <protection locked="0"/>
    </xf>
    <xf numFmtId="0" fontId="1" fillId="0" borderId="1" xfId="0" applyFont="1" applyBorder="1" applyAlignment="1" applyProtection="1">
      <alignment horizontal="left" vertical="center" wrapText="1"/>
    </xf>
    <xf numFmtId="0" fontId="1" fillId="0" borderId="2" xfId="0" applyFont="1" applyBorder="1" applyAlignment="1" applyProtection="1">
      <alignment horizontal="left" vertical="center" wrapText="1"/>
    </xf>
    <xf numFmtId="0" fontId="1" fillId="0" borderId="3" xfId="0" applyFont="1" applyBorder="1" applyAlignment="1" applyProtection="1">
      <alignment horizontal="left" vertical="center" wrapText="1"/>
    </xf>
    <xf numFmtId="0" fontId="1" fillId="0" borderId="4" xfId="0" applyFont="1" applyBorder="1" applyProtection="1">
      <alignment vertical="center"/>
    </xf>
    <xf numFmtId="10" fontId="1" fillId="4" borderId="4" xfId="11" applyNumberFormat="1" applyFont="1" applyFill="1" applyBorder="1" applyAlignment="1" applyProtection="1">
      <alignment vertical="center"/>
      <protection locked="0"/>
    </xf>
    <xf numFmtId="10" fontId="1" fillId="4" borderId="4" xfId="11" applyNumberFormat="1" applyFont="1" applyFill="1" applyBorder="1" applyProtection="1">
      <alignment vertical="center"/>
      <protection locked="0"/>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4" borderId="4" xfId="0" applyFont="1" applyFill="1" applyBorder="1" applyProtection="1">
      <alignment vertical="center"/>
      <protection locked="0"/>
    </xf>
    <xf numFmtId="0" fontId="1" fillId="3" borderId="4" xfId="0" applyFont="1" applyFill="1" applyBorder="1" applyAlignment="1" applyProtection="1">
      <alignment horizontal="right" vertical="center"/>
    </xf>
    <xf numFmtId="0" fontId="1" fillId="3" borderId="4" xfId="0" applyFont="1" applyFill="1" applyBorder="1" applyAlignment="1">
      <alignment horizontal="right" vertical="center"/>
    </xf>
    <xf numFmtId="177" fontId="1" fillId="4" borderId="4" xfId="0" applyNumberFormat="1" applyFont="1" applyFill="1" applyBorder="1" applyProtection="1">
      <alignment vertical="center"/>
      <protection locked="0"/>
    </xf>
    <xf numFmtId="9" fontId="1" fillId="4" borderId="4" xfId="11" applyFont="1" applyFill="1" applyBorder="1" applyProtection="1">
      <alignment vertical="center"/>
      <protection locked="0"/>
    </xf>
    <xf numFmtId="182" fontId="1" fillId="3" borderId="4" xfId="0" applyNumberFormat="1" applyFont="1" applyFill="1" applyBorder="1" applyProtection="1">
      <alignment vertical="center"/>
    </xf>
    <xf numFmtId="182" fontId="1" fillId="0" borderId="1" xfId="0" applyNumberFormat="1" applyFont="1" applyBorder="1" applyAlignment="1">
      <alignment horizontal="left" vertical="center" wrapText="1"/>
    </xf>
    <xf numFmtId="182" fontId="1" fillId="0" borderId="2" xfId="0" applyNumberFormat="1" applyFont="1" applyBorder="1" applyAlignment="1">
      <alignment horizontal="left" vertical="center" wrapText="1"/>
    </xf>
    <xf numFmtId="182" fontId="1" fillId="0" borderId="3" xfId="0" applyNumberFormat="1" applyFont="1" applyBorder="1" applyAlignment="1">
      <alignment horizontal="left" vertical="center" wrapText="1"/>
    </xf>
    <xf numFmtId="182" fontId="1" fillId="3" borderId="4" xfId="0" applyNumberFormat="1" applyFont="1" applyFill="1" applyBorder="1" applyAlignment="1">
      <alignment horizontal="right" vertical="center"/>
    </xf>
    <xf numFmtId="10" fontId="1" fillId="3" borderId="4" xfId="0" applyNumberFormat="1" applyFont="1" applyFill="1" applyBorder="1">
      <alignment vertical="center"/>
    </xf>
    <xf numFmtId="0" fontId="1" fillId="0" borderId="0" xfId="0" applyFont="1" applyBorder="1" applyAlignment="1">
      <alignment vertical="center"/>
    </xf>
    <xf numFmtId="0" fontId="1" fillId="0" borderId="0" xfId="0" applyFont="1" applyBorder="1">
      <alignment vertical="center"/>
    </xf>
    <xf numFmtId="0" fontId="3" fillId="0" borderId="0" xfId="0" applyFont="1" applyProtection="1">
      <alignment vertical="center"/>
    </xf>
    <xf numFmtId="0" fontId="1" fillId="0" borderId="0" xfId="0" applyFont="1" applyProtection="1">
      <alignment vertical="center"/>
    </xf>
    <xf numFmtId="0" fontId="1" fillId="3" borderId="1" xfId="0" applyFont="1" applyFill="1" applyBorder="1" applyProtection="1">
      <alignment vertical="center"/>
    </xf>
    <xf numFmtId="0" fontId="1" fillId="3" borderId="2" xfId="0" applyFont="1" applyFill="1" applyBorder="1" applyProtection="1">
      <alignment vertical="center"/>
    </xf>
    <xf numFmtId="0" fontId="1" fillId="3" borderId="4" xfId="0" applyFont="1" applyFill="1" applyBorder="1" applyProtection="1">
      <alignment vertical="center"/>
    </xf>
    <xf numFmtId="0" fontId="4" fillId="3" borderId="4" xfId="0" applyFont="1" applyFill="1" applyBorder="1" applyAlignment="1" applyProtection="1">
      <alignment horizontal="center"/>
    </xf>
    <xf numFmtId="183" fontId="1" fillId="2" borderId="1" xfId="0" applyNumberFormat="1" applyFont="1" applyFill="1" applyBorder="1" applyAlignment="1" applyProtection="1">
      <alignment horizontal="left" vertical="center"/>
    </xf>
    <xf numFmtId="183" fontId="1" fillId="2" borderId="2" xfId="0" applyNumberFormat="1" applyFont="1" applyFill="1" applyBorder="1" applyAlignment="1" applyProtection="1">
      <alignment horizontal="left" vertical="center"/>
    </xf>
    <xf numFmtId="183" fontId="1" fillId="2" borderId="4" xfId="0" applyNumberFormat="1" applyFont="1" applyFill="1" applyBorder="1" applyProtection="1">
      <alignment vertical="center"/>
    </xf>
    <xf numFmtId="0" fontId="1" fillId="0" borderId="1" xfId="0" applyFont="1" applyBorder="1" applyAlignment="1" applyProtection="1">
      <alignment horizontal="left" vertical="center"/>
    </xf>
    <xf numFmtId="0" fontId="1" fillId="0" borderId="2" xfId="0" applyFont="1" applyBorder="1" applyAlignment="1" applyProtection="1">
      <alignment horizontal="left" vertical="center"/>
    </xf>
    <xf numFmtId="183" fontId="5" fillId="3" borderId="4" xfId="0" applyNumberFormat="1" applyFont="1" applyFill="1" applyBorder="1" applyProtection="1">
      <alignment vertical="center"/>
    </xf>
    <xf numFmtId="183" fontId="5" fillId="0" borderId="4" xfId="0" applyNumberFormat="1" applyFont="1" applyBorder="1" applyProtection="1">
      <alignment vertical="center"/>
    </xf>
    <xf numFmtId="183" fontId="5" fillId="0" borderId="4" xfId="0" applyNumberFormat="1" applyFont="1" applyFill="1" applyBorder="1" applyProtection="1">
      <alignment vertical="center"/>
    </xf>
    <xf numFmtId="183" fontId="1" fillId="3" borderId="4" xfId="0" applyNumberFormat="1" applyFont="1" applyFill="1" applyBorder="1" applyProtection="1">
      <alignment vertical="center"/>
    </xf>
    <xf numFmtId="183" fontId="1" fillId="0" borderId="4" xfId="0" applyNumberFormat="1" applyFont="1" applyFill="1" applyBorder="1" applyProtection="1">
      <alignment vertical="center"/>
    </xf>
    <xf numFmtId="17" fontId="1" fillId="4" borderId="1" xfId="0" applyNumberFormat="1" applyFont="1" applyFill="1" applyBorder="1" applyProtection="1">
      <alignment vertical="center"/>
      <protection locked="0"/>
    </xf>
    <xf numFmtId="0" fontId="4" fillId="3" borderId="1" xfId="0" applyFont="1" applyFill="1" applyBorder="1" applyAlignment="1" applyProtection="1">
      <alignment horizontal="center"/>
    </xf>
    <xf numFmtId="0" fontId="1" fillId="0" borderId="3" xfId="0" applyFont="1" applyBorder="1" applyAlignment="1" applyProtection="1">
      <alignment horizontal="left" vertical="center"/>
    </xf>
    <xf numFmtId="0" fontId="1" fillId="0" borderId="1" xfId="0" applyFont="1" applyBorder="1" applyAlignment="1" applyProtection="1">
      <alignment horizontal="left" vertical="center"/>
      <protection locked="0"/>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9" fontId="6" fillId="4" borderId="1" xfId="0" applyNumberFormat="1" applyFont="1" applyFill="1" applyBorder="1" applyProtection="1">
      <alignment vertical="center"/>
      <protection locked="0"/>
    </xf>
    <xf numFmtId="0" fontId="1" fillId="0" borderId="1" xfId="0" applyFont="1" applyBorder="1" applyAlignment="1" applyProtection="1">
      <alignment horizontal="left" vertical="center" wrapText="1"/>
      <protection locked="0"/>
    </xf>
    <xf numFmtId="0" fontId="1" fillId="0" borderId="2" xfId="0" applyFont="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1" fillId="0" borderId="1"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0" xfId="0" applyFont="1" applyBorder="1" applyAlignment="1">
      <alignment horizontal="left" vertical="center" wrapText="1"/>
    </xf>
    <xf numFmtId="0" fontId="1" fillId="0" borderId="1" xfId="0" applyFont="1" applyBorder="1" applyProtection="1">
      <alignment vertical="center"/>
    </xf>
    <xf numFmtId="0" fontId="1" fillId="0" borderId="2" xfId="0" applyFont="1" applyBorder="1" applyProtection="1">
      <alignment vertical="center"/>
    </xf>
    <xf numFmtId="183" fontId="1" fillId="0" borderId="1" xfId="0" applyNumberFormat="1" applyFont="1" applyFill="1" applyBorder="1" applyAlignment="1" applyProtection="1">
      <alignment horizontal="left" vertical="center"/>
    </xf>
    <xf numFmtId="183" fontId="1" fillId="0" borderId="2" xfId="0" applyNumberFormat="1" applyFont="1" applyFill="1" applyBorder="1" applyAlignment="1" applyProtection="1">
      <alignment horizontal="left" vertical="center"/>
    </xf>
    <xf numFmtId="183" fontId="1" fillId="2" borderId="4" xfId="0" applyNumberFormat="1" applyFont="1" applyFill="1" applyBorder="1" applyAlignment="1" applyProtection="1">
      <alignment horizontal="right" vertical="center"/>
    </xf>
    <xf numFmtId="0" fontId="7" fillId="0" borderId="0" xfId="0" applyFont="1" applyProtection="1">
      <alignment vertical="center"/>
    </xf>
    <xf numFmtId="0" fontId="8" fillId="0" borderId="0" xfId="0" applyFont="1" applyProtection="1">
      <alignment vertical="center"/>
    </xf>
    <xf numFmtId="0" fontId="4" fillId="0" borderId="0" xfId="0" applyFont="1" applyAlignment="1" applyProtection="1">
      <alignment vertical="center"/>
    </xf>
    <xf numFmtId="0" fontId="1" fillId="0" borderId="0" xfId="0" applyFont="1" applyAlignment="1" applyProtection="1">
      <alignment vertical="center"/>
    </xf>
    <xf numFmtId="0" fontId="1" fillId="0" borderId="0" xfId="0" applyFont="1" applyAlignment="1" applyProtection="1">
      <alignment horizontal="left" vertical="center" wrapText="1"/>
    </xf>
    <xf numFmtId="0" fontId="2" fillId="0" borderId="0" xfId="0" applyFont="1" applyAlignment="1" applyProtection="1">
      <alignment vertical="center"/>
    </xf>
    <xf numFmtId="0" fontId="9" fillId="0" borderId="0" xfId="0" applyFont="1" applyProtection="1">
      <alignment vertical="center"/>
    </xf>
    <xf numFmtId="0" fontId="1" fillId="0" borderId="1" xfId="0" applyFont="1" applyFill="1" applyBorder="1" applyAlignment="1" applyProtection="1">
      <alignment horizontal="left" vertical="center" wrapText="1"/>
      <protection locked="0"/>
    </xf>
    <xf numFmtId="0" fontId="1" fillId="0" borderId="2" xfId="0" applyFont="1" applyFill="1" applyBorder="1" applyAlignment="1" applyProtection="1">
      <alignment horizontal="left" vertical="center" wrapText="1"/>
      <protection locked="0"/>
    </xf>
    <xf numFmtId="0" fontId="1" fillId="0" borderId="3" xfId="0" applyFont="1" applyFill="1" applyBorder="1" applyAlignment="1" applyProtection="1">
      <alignment horizontal="left" vertical="center" wrapText="1"/>
      <protection locked="0"/>
    </xf>
    <xf numFmtId="0" fontId="1" fillId="0" borderId="0" xfId="0" applyFont="1" applyFill="1" applyProtection="1">
      <alignment vertical="center"/>
    </xf>
    <xf numFmtId="0" fontId="1" fillId="0" borderId="0" xfId="0" applyFont="1" applyAlignment="1" applyProtection="1">
      <alignment vertical="center" wrapText="1"/>
    </xf>
    <xf numFmtId="10" fontId="1" fillId="2" borderId="0" xfId="0" applyNumberFormat="1" applyFont="1" applyFill="1">
      <alignment vertical="center"/>
    </xf>
    <xf numFmtId="9" fontId="1" fillId="2" borderId="0" xfId="11" applyNumberFormat="1" applyFont="1" applyFill="1">
      <alignment vertical="center"/>
    </xf>
    <xf numFmtId="9" fontId="1" fillId="2" borderId="0" xfId="11" applyFont="1" applyFill="1">
      <alignment vertical="center"/>
    </xf>
    <xf numFmtId="0" fontId="10" fillId="0" borderId="0" xfId="0" applyFont="1">
      <alignment vertical="center"/>
    </xf>
    <xf numFmtId="0" fontId="11" fillId="0" borderId="0" xfId="0" applyFont="1">
      <alignment vertical="center"/>
    </xf>
    <xf numFmtId="0" fontId="9" fillId="0" borderId="0" xfId="0" applyFont="1" applyAlignment="1">
      <alignment vertical="center" wrapText="1"/>
    </xf>
    <xf numFmtId="0" fontId="9" fillId="0" borderId="0" xfId="0" applyFont="1">
      <alignment vertical="center"/>
    </xf>
    <xf numFmtId="0" fontId="12" fillId="0" borderId="0" xfId="0" applyFont="1" applyAlignment="1">
      <alignment horizontal="center" vertical="center"/>
    </xf>
    <xf numFmtId="0" fontId="10" fillId="0" borderId="0" xfId="0" applyFont="1" applyAlignment="1">
      <alignment vertical="center" wrapText="1"/>
    </xf>
    <xf numFmtId="0" fontId="1" fillId="0" borderId="0" xfId="0" applyFont="1" applyAlignment="1">
      <alignment vertical="center" wrapText="1"/>
    </xf>
    <xf numFmtId="0" fontId="1" fillId="4" borderId="0" xfId="0" applyFont="1" applyFill="1" applyAlignment="1" applyProtection="1">
      <alignment horizontal="left" vertical="center"/>
      <protection locked="0"/>
    </xf>
    <xf numFmtId="183" fontId="1" fillId="4" borderId="0" xfId="0" applyNumberFormat="1" applyFont="1" applyFill="1" applyAlignment="1" applyProtection="1">
      <alignment horizontal="left" vertical="center"/>
      <protection locked="0"/>
    </xf>
    <xf numFmtId="0" fontId="13" fillId="5" borderId="0" xfId="0" applyFont="1" applyFill="1" applyAlignment="1">
      <alignment horizontal="left" vertical="center" wrapText="1"/>
    </xf>
    <xf numFmtId="0" fontId="14" fillId="0" borderId="0" xfId="0" applyFont="1">
      <alignment vertical="center"/>
    </xf>
    <xf numFmtId="0" fontId="11" fillId="0" borderId="9" xfId="0" applyFont="1" applyBorder="1" applyAlignment="1">
      <alignment vertical="center"/>
    </xf>
    <xf numFmtId="0" fontId="1" fillId="0" borderId="4" xfId="0" applyFont="1" applyBorder="1" applyAlignment="1">
      <alignment vertical="center" wrapText="1"/>
    </xf>
    <xf numFmtId="0" fontId="1" fillId="0" borderId="4" xfId="0" applyFont="1" applyBorder="1" applyProtection="1">
      <alignment vertical="center"/>
      <protection locked="0"/>
    </xf>
    <xf numFmtId="0" fontId="1" fillId="0" borderId="3" xfId="0" applyFont="1" applyBorder="1" applyProtection="1">
      <alignment vertical="center"/>
    </xf>
    <xf numFmtId="180" fontId="1" fillId="4" borderId="4" xfId="0" applyNumberFormat="1" applyFont="1" applyFill="1" applyBorder="1" applyAlignment="1" applyProtection="1">
      <alignment horizontal="left" vertical="center"/>
      <protection locked="0"/>
    </xf>
    <xf numFmtId="184" fontId="1" fillId="0" borderId="2" xfId="0" applyNumberFormat="1" applyFont="1" applyBorder="1" applyProtection="1">
      <alignment vertical="center"/>
      <protection locked="0"/>
    </xf>
    <xf numFmtId="184" fontId="1" fillId="0" borderId="3" xfId="0" applyNumberFormat="1" applyFont="1" applyBorder="1" applyProtection="1">
      <alignment vertical="center"/>
      <protection locked="0"/>
    </xf>
    <xf numFmtId="58" fontId="1" fillId="0" borderId="0" xfId="0" applyNumberFormat="1" applyFont="1" applyBorder="1">
      <alignment vertical="center"/>
    </xf>
    <xf numFmtId="0" fontId="1" fillId="4" borderId="4" xfId="0" applyFont="1" applyFill="1" applyBorder="1" applyAlignment="1" applyProtection="1">
      <alignment horizontal="center" vertical="center"/>
      <protection locked="0"/>
    </xf>
    <xf numFmtId="0" fontId="1" fillId="4" borderId="4" xfId="0" applyFont="1" applyFill="1" applyBorder="1" applyAlignment="1" applyProtection="1">
      <alignment horizontal="left" vertical="center"/>
      <protection locked="0"/>
    </xf>
    <xf numFmtId="0" fontId="1" fillId="0" borderId="0" xfId="0" applyFont="1" applyBorder="1" applyAlignment="1">
      <alignment vertical="center" wrapText="1"/>
    </xf>
    <xf numFmtId="0" fontId="1" fillId="0" borderId="0" xfId="0" applyFont="1" applyBorder="1" applyAlignment="1">
      <alignment horizontal="right" vertical="center"/>
    </xf>
    <xf numFmtId="0" fontId="11" fillId="0" borderId="0" xfId="0" applyNumberFormat="1" applyFont="1" applyBorder="1">
      <alignment vertical="center"/>
    </xf>
    <xf numFmtId="0" fontId="11" fillId="0" borderId="1" xfId="0" applyFont="1" applyBorder="1" applyAlignment="1" applyProtection="1">
      <alignment vertical="center" wrapText="1"/>
      <protection locked="0"/>
    </xf>
    <xf numFmtId="0" fontId="1" fillId="0" borderId="4" xfId="0" applyFont="1" applyBorder="1" applyAlignment="1" applyProtection="1">
      <alignment vertical="center" wrapText="1"/>
      <protection locked="0"/>
    </xf>
    <xf numFmtId="0" fontId="9" fillId="0" borderId="4" xfId="0" applyFont="1" applyBorder="1" applyAlignment="1" applyProtection="1">
      <alignment horizontal="center" vertical="center"/>
      <protection locked="0"/>
    </xf>
    <xf numFmtId="0" fontId="1" fillId="0" borderId="1" xfId="0" applyFont="1" applyBorder="1" applyAlignment="1">
      <alignment vertical="center" wrapText="1"/>
    </xf>
    <xf numFmtId="185" fontId="1" fillId="4" borderId="1" xfId="0" applyNumberFormat="1" applyFont="1" applyFill="1" applyBorder="1" applyProtection="1">
      <alignment vertical="center"/>
      <protection locked="0"/>
    </xf>
    <xf numFmtId="10" fontId="1" fillId="4" borderId="1" xfId="0" applyNumberFormat="1" applyFont="1" applyFill="1" applyBorder="1" applyProtection="1">
      <alignment vertical="center"/>
      <protection locked="0"/>
    </xf>
    <xf numFmtId="10" fontId="1" fillId="4" borderId="1" xfId="11" applyNumberFormat="1" applyFont="1" applyFill="1" applyBorder="1" applyProtection="1">
      <alignment vertical="center"/>
      <protection locked="0"/>
    </xf>
    <xf numFmtId="0" fontId="1" fillId="0" borderId="1" xfId="0" applyFont="1" applyBorder="1" applyAlignment="1" applyProtection="1">
      <alignment vertical="center" wrapText="1"/>
      <protection locked="0"/>
    </xf>
    <xf numFmtId="0" fontId="1" fillId="0" borderId="1" xfId="0" applyFont="1" applyFill="1" applyBorder="1" applyAlignment="1" applyProtection="1">
      <alignment vertical="center" wrapText="1"/>
      <protection locked="0"/>
    </xf>
    <xf numFmtId="0" fontId="11" fillId="0" borderId="1" xfId="0" applyFont="1" applyBorder="1" applyAlignment="1">
      <alignment vertical="center" wrapText="1"/>
    </xf>
    <xf numFmtId="0" fontId="1" fillId="0" borderId="1" xfId="0" applyFont="1" applyFill="1" applyBorder="1" applyAlignment="1" applyProtection="1">
      <alignment vertical="center" wrapText="1"/>
    </xf>
    <xf numFmtId="10" fontId="1" fillId="0" borderId="1" xfId="0" applyNumberFormat="1" applyFont="1" applyFill="1" applyBorder="1" applyProtection="1">
      <alignment vertical="center"/>
    </xf>
    <xf numFmtId="10" fontId="1" fillId="0" borderId="1" xfId="0" applyNumberFormat="1" applyFont="1" applyFill="1" applyBorder="1" applyProtection="1">
      <alignment vertical="center"/>
      <protection locked="0"/>
    </xf>
    <xf numFmtId="0" fontId="1" fillId="0" borderId="6" xfId="0" applyFont="1" applyBorder="1" applyAlignment="1">
      <alignment vertical="center" wrapText="1"/>
    </xf>
    <xf numFmtId="0" fontId="1" fillId="0" borderId="0" xfId="0" applyFont="1" applyBorder="1" applyProtection="1">
      <alignmen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185" fontId="1" fillId="4" borderId="4" xfId="0" applyNumberFormat="1" applyFont="1" applyFill="1" applyBorder="1" applyProtection="1">
      <alignment vertical="center"/>
      <protection locked="0"/>
    </xf>
    <xf numFmtId="9" fontId="15" fillId="4" borderId="4" xfId="0" applyNumberFormat="1" applyFont="1" applyFill="1" applyBorder="1" applyProtection="1">
      <alignment vertical="center"/>
      <protection locked="0"/>
    </xf>
    <xf numFmtId="0" fontId="1" fillId="5" borderId="1" xfId="0" applyFont="1" applyFill="1" applyBorder="1" applyAlignment="1" applyProtection="1">
      <alignment horizontal="left" vertical="center" wrapText="1"/>
      <protection locked="0"/>
    </xf>
    <xf numFmtId="0" fontId="1" fillId="5" borderId="2" xfId="0" applyFont="1" applyFill="1" applyBorder="1" applyAlignment="1" applyProtection="1">
      <alignment horizontal="left" vertical="center" wrapText="1"/>
      <protection locked="0"/>
    </xf>
    <xf numFmtId="185" fontId="1" fillId="3" borderId="4" xfId="0" applyNumberFormat="1" applyFont="1" applyFill="1" applyBorder="1">
      <alignment vertical="center"/>
    </xf>
    <xf numFmtId="0" fontId="1" fillId="0" borderId="0" xfId="0" applyFont="1" applyAlignment="1">
      <alignment horizontal="left" vertical="center" wrapText="1"/>
    </xf>
    <xf numFmtId="0" fontId="16" fillId="0" borderId="0" xfId="0" applyFont="1">
      <alignment vertical="center"/>
    </xf>
    <xf numFmtId="0" fontId="9" fillId="0" borderId="4" xfId="0" applyFont="1" applyBorder="1" applyAlignment="1" applyProtection="1">
      <alignment horizontal="right" vertical="center"/>
      <protection locked="0"/>
    </xf>
    <xf numFmtId="0" fontId="1" fillId="0" borderId="0" xfId="0" applyFont="1" applyFill="1" applyBorder="1">
      <alignment vertical="center"/>
    </xf>
    <xf numFmtId="185" fontId="1" fillId="3" borderId="1" xfId="0" applyNumberFormat="1" applyFont="1" applyFill="1" applyBorder="1">
      <alignment vertical="center"/>
    </xf>
    <xf numFmtId="10" fontId="1" fillId="3" borderId="1" xfId="0" applyNumberFormat="1" applyFont="1" applyFill="1" applyBorder="1">
      <alignment vertical="center"/>
    </xf>
    <xf numFmtId="0" fontId="1" fillId="0" borderId="4" xfId="0" applyFont="1" applyFill="1" applyBorder="1" applyAlignment="1" applyProtection="1">
      <alignment vertical="center" wrapText="1"/>
      <protection locked="0"/>
    </xf>
    <xf numFmtId="0" fontId="1" fillId="0" borderId="4" xfId="0" applyFont="1" applyFill="1" applyBorder="1" applyAlignment="1" applyProtection="1">
      <alignment vertical="center" wrapText="1"/>
    </xf>
    <xf numFmtId="10" fontId="1" fillId="0" borderId="4" xfId="0" applyNumberFormat="1" applyFont="1" applyFill="1" applyBorder="1" applyProtection="1">
      <alignment vertical="center"/>
    </xf>
    <xf numFmtId="10" fontId="1" fillId="0" borderId="4" xfId="0" applyNumberFormat="1" applyFont="1" applyFill="1" applyBorder="1" applyProtection="1">
      <alignment vertical="center"/>
      <protection locked="0"/>
    </xf>
    <xf numFmtId="0" fontId="1" fillId="0" borderId="3" xfId="0" applyFont="1" applyBorder="1" applyAlignment="1">
      <alignment horizontal="left" vertical="center"/>
    </xf>
    <xf numFmtId="0" fontId="1" fillId="5" borderId="3" xfId="0" applyFont="1" applyFill="1" applyBorder="1" applyAlignment="1" applyProtection="1">
      <alignment horizontal="left" vertical="center" wrapText="1"/>
      <protection locked="0"/>
    </xf>
    <xf numFmtId="0" fontId="9" fillId="0" borderId="0" xfId="0" applyFont="1" applyBorder="1" applyAlignment="1">
      <alignment vertical="center"/>
    </xf>
    <xf numFmtId="0" fontId="9" fillId="0" borderId="0" xfId="0" applyFont="1" applyBorder="1" applyAlignment="1">
      <alignment vertical="center" wrapText="1"/>
    </xf>
    <xf numFmtId="9" fontId="9" fillId="0" borderId="0" xfId="0" applyNumberFormat="1" applyFont="1" applyAlignment="1">
      <alignment vertical="center" wrapText="1"/>
    </xf>
    <xf numFmtId="9" fontId="1" fillId="0" borderId="0" xfId="0" applyNumberFormat="1" applyFont="1" applyFill="1">
      <alignment vertical="center"/>
    </xf>
    <xf numFmtId="9" fontId="10" fillId="0" borderId="0" xfId="0" applyNumberFormat="1" applyFont="1" applyAlignment="1">
      <alignment vertical="center" wrapText="1"/>
    </xf>
    <xf numFmtId="9" fontId="9" fillId="0" borderId="0" xfId="11" applyNumberFormat="1" applyFont="1" applyAlignment="1">
      <alignment vertical="center" wrapText="1"/>
    </xf>
    <xf numFmtId="9" fontId="9" fillId="0" borderId="0" xfId="11" applyFont="1" applyAlignment="1">
      <alignment vertical="center" wrapText="1"/>
    </xf>
    <xf numFmtId="186" fontId="9" fillId="0" borderId="0" xfId="8" applyNumberFormat="1" applyFont="1" applyAlignment="1">
      <alignment vertical="center" wrapText="1"/>
    </xf>
    <xf numFmtId="0" fontId="13" fillId="5" borderId="0" xfId="0" applyFont="1" applyFill="1" applyAlignment="1" quotePrefix="1">
      <alignment horizontal="left"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LO_Currency" xfId="31"/>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s>
  <dxfs count="1">
    <dxf>
      <font>
        <color rgb="FFFF0000"/>
      </font>
    </dxf>
  </dxfs>
  <tableStyles count="0" defaultTableStyle="TableStyleMedium2" defaultPivotStyle="PivotStyleLight16"/>
  <colors>
    <mruColors>
      <color rgb="00FFCC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indexed="43"/>
  </sheetPr>
  <dimension ref="A1:K101"/>
  <sheetViews>
    <sheetView tabSelected="1" workbookViewId="0">
      <selection activeCell="A38" sqref="A38"/>
    </sheetView>
  </sheetViews>
  <sheetFormatPr defaultColWidth="9" defaultRowHeight="10.2"/>
  <cols>
    <col min="1" max="1" width="23.25" style="100" customWidth="1"/>
    <col min="2" max="2" width="5.5" style="100" customWidth="1"/>
    <col min="3" max="3" width="12.5" style="101" customWidth="1"/>
    <col min="4" max="4" width="13.25" style="101" customWidth="1"/>
    <col min="5" max="5" width="12.25" style="101" customWidth="1"/>
    <col min="6" max="6" width="11.5" style="101" customWidth="1"/>
    <col min="7" max="7" width="12.6296296296296" style="101" customWidth="1"/>
    <col min="8" max="8" width="14.75" style="101" customWidth="1"/>
    <col min="9" max="9" width="16.5" style="101" customWidth="1"/>
    <col min="10" max="10" width="45.6296296296296" style="101" customWidth="1"/>
    <col min="11" max="11" width="39.6296296296296" style="101" customWidth="1"/>
    <col min="12" max="16384" width="9" style="101"/>
  </cols>
  <sheetData>
    <row r="1" ht="16.5" customHeight="1" spans="1:10">
      <c r="A1" s="102" t="s">
        <v>0</v>
      </c>
      <c r="B1" s="102"/>
      <c r="C1" s="102"/>
      <c r="D1" s="102"/>
      <c r="E1" s="102"/>
      <c r="F1" s="102"/>
      <c r="G1" s="102"/>
      <c r="H1" s="102"/>
      <c r="I1" s="102"/>
      <c r="J1" s="102"/>
    </row>
    <row r="2" s="98" customFormat="1" ht="12" spans="1:2">
      <c r="A2" s="103"/>
      <c r="B2" s="103"/>
    </row>
    <row r="3" s="7" customFormat="1" ht="13.2" spans="1:8">
      <c r="A3" s="104" t="s">
        <v>1</v>
      </c>
      <c r="B3" s="104"/>
      <c r="C3" s="105"/>
      <c r="F3" s="7" t="s">
        <v>2</v>
      </c>
      <c r="H3" s="105"/>
    </row>
    <row r="4" s="7" customFormat="1" ht="13.2" spans="1:8">
      <c r="A4" s="104" t="s">
        <v>3</v>
      </c>
      <c r="B4" s="104"/>
      <c r="C4" s="106"/>
      <c r="F4" s="7" t="s">
        <v>4</v>
      </c>
      <c r="H4" s="105"/>
    </row>
    <row r="5" s="7" customFormat="1" ht="13.2" spans="1:8">
      <c r="A5" s="104" t="s">
        <v>5</v>
      </c>
      <c r="B5" s="104"/>
      <c r="C5" s="105"/>
      <c r="F5" s="7" t="s">
        <v>6</v>
      </c>
      <c r="H5" s="105"/>
    </row>
    <row r="6" s="7" customFormat="1" ht="13.2" spans="1:8">
      <c r="A6" s="104" t="s">
        <v>7</v>
      </c>
      <c r="B6" s="104" t="s">
        <v>8</v>
      </c>
      <c r="C6" s="105"/>
      <c r="H6" s="105"/>
    </row>
    <row r="7" s="7" customFormat="1" ht="13.2" spans="1:2">
      <c r="A7" s="104"/>
      <c r="B7" s="104"/>
    </row>
    <row r="8" s="7" customFormat="1" ht="13.2" spans="1:2">
      <c r="A8" s="3" t="s">
        <v>9</v>
      </c>
      <c r="B8" s="3"/>
    </row>
    <row r="9" s="7" customFormat="1" ht="51.75" customHeight="1" spans="1:10">
      <c r="A9" s="164" t="s">
        <v>10</v>
      </c>
      <c r="B9" s="107"/>
      <c r="C9" s="107"/>
      <c r="D9" s="107"/>
      <c r="E9" s="107"/>
      <c r="F9" s="107"/>
      <c r="G9" s="107"/>
      <c r="H9" s="107"/>
      <c r="I9" s="107"/>
      <c r="J9" s="107"/>
    </row>
    <row r="10" s="7" customFormat="1" ht="13.2" spans="1:8">
      <c r="A10" s="3"/>
      <c r="B10" s="3"/>
      <c r="F10" s="108"/>
      <c r="G10" s="108"/>
      <c r="H10" s="108"/>
    </row>
    <row r="11" s="7" customFormat="1" ht="12" customHeight="1" spans="1:3">
      <c r="A11" s="109" t="s">
        <v>11</v>
      </c>
      <c r="B11" s="109"/>
      <c r="C11" s="109"/>
    </row>
    <row r="12" s="7" customFormat="1" ht="13.2" spans="1:8">
      <c r="A12" s="110" t="s">
        <v>12</v>
      </c>
      <c r="B12" s="110" t="s">
        <v>13</v>
      </c>
      <c r="C12" s="111"/>
      <c r="D12" s="78" t="s">
        <v>14</v>
      </c>
      <c r="E12" s="79"/>
      <c r="F12" s="79"/>
      <c r="G12" s="112"/>
      <c r="H12" s="47"/>
    </row>
    <row r="13" s="7" customFormat="1" ht="13.2" spans="1:8">
      <c r="A13" s="110" t="s">
        <v>15</v>
      </c>
      <c r="B13" s="110" t="s">
        <v>16</v>
      </c>
      <c r="C13" s="35"/>
      <c r="D13" s="78"/>
      <c r="E13" s="79"/>
      <c r="F13" s="79"/>
      <c r="G13" s="112"/>
      <c r="H13" s="47"/>
    </row>
    <row r="14" s="7" customFormat="1" ht="13.2" spans="1:8">
      <c r="A14" s="110" t="s">
        <v>17</v>
      </c>
      <c r="B14" s="110" t="s">
        <v>18</v>
      </c>
      <c r="C14" s="113"/>
      <c r="D14" s="78" t="s">
        <v>19</v>
      </c>
      <c r="E14" s="114"/>
      <c r="F14" s="79" t="s">
        <v>20</v>
      </c>
      <c r="G14" s="115"/>
      <c r="H14" s="116"/>
    </row>
    <row r="15" s="7" customFormat="1" ht="12.75" customHeight="1" spans="1:8">
      <c r="A15" s="110" t="s">
        <v>21</v>
      </c>
      <c r="B15" s="110" t="s">
        <v>22</v>
      </c>
      <c r="C15" s="117"/>
      <c r="D15" s="78"/>
      <c r="E15" s="79"/>
      <c r="F15" s="79"/>
      <c r="G15" s="112"/>
      <c r="H15" s="47"/>
    </row>
    <row r="16" s="7" customFormat="1" ht="12.75" customHeight="1" spans="1:8">
      <c r="A16" s="110" t="s">
        <v>23</v>
      </c>
      <c r="B16" s="110" t="s">
        <v>24</v>
      </c>
      <c r="C16" s="118"/>
      <c r="D16" s="78"/>
      <c r="E16" s="79"/>
      <c r="F16" s="79"/>
      <c r="G16" s="112"/>
      <c r="H16" s="47"/>
    </row>
    <row r="17" s="7" customFormat="1" ht="12.75" customHeight="1" spans="1:5">
      <c r="A17" s="119"/>
      <c r="B17" s="46"/>
      <c r="C17" s="47"/>
      <c r="D17" s="47"/>
      <c r="E17" s="47"/>
    </row>
    <row r="18" s="7" customFormat="1" ht="12.75" customHeight="1" spans="1:5">
      <c r="A18" s="109" t="s">
        <v>25</v>
      </c>
      <c r="B18" s="120"/>
      <c r="C18" s="121">
        <f>C16</f>
        <v>0</v>
      </c>
      <c r="D18" s="47"/>
      <c r="E18" s="47"/>
    </row>
    <row r="19" s="7" customFormat="1" ht="12.75" customHeight="1" spans="1:11">
      <c r="A19" s="122" t="s">
        <v>26</v>
      </c>
      <c r="B19" s="123" t="s">
        <v>13</v>
      </c>
      <c r="C19" s="124" t="s">
        <v>27</v>
      </c>
      <c r="D19" s="124" t="s">
        <v>28</v>
      </c>
      <c r="E19" s="124" t="s">
        <v>29</v>
      </c>
      <c r="F19" s="124" t="s">
        <v>30</v>
      </c>
      <c r="G19" s="124" t="s">
        <v>31</v>
      </c>
      <c r="H19" s="124" t="s">
        <v>32</v>
      </c>
      <c r="I19" s="146" t="s">
        <v>33</v>
      </c>
      <c r="J19" s="111" t="s">
        <v>34</v>
      </c>
      <c r="K19" s="147"/>
    </row>
    <row r="20" s="7" customFormat="1" ht="12.75" customHeight="1" spans="1:10">
      <c r="A20" s="125" t="s">
        <v>35</v>
      </c>
      <c r="B20" s="125" t="s">
        <v>36</v>
      </c>
      <c r="C20" s="126"/>
      <c r="D20" s="126"/>
      <c r="E20" s="126"/>
      <c r="F20" s="126"/>
      <c r="G20" s="126"/>
      <c r="H20" s="126"/>
      <c r="I20" s="148">
        <f t="shared" ref="I20:I24" si="0">SUM(C20:H20)</f>
        <v>0</v>
      </c>
      <c r="J20" s="139"/>
    </row>
    <row r="21" s="7" customFormat="1" ht="12.75" customHeight="1" spans="1:10">
      <c r="A21" s="125" t="s">
        <v>37</v>
      </c>
      <c r="B21" s="125" t="s">
        <v>38</v>
      </c>
      <c r="C21" s="127"/>
      <c r="D21" s="127"/>
      <c r="E21" s="127"/>
      <c r="F21" s="127"/>
      <c r="G21" s="127"/>
      <c r="H21" s="127"/>
      <c r="I21" s="149">
        <f>IF(I20=0,,(C20*C21+D20*D21+E20*E21+F20*F21+G20*G21+H20*H21)/I20)</f>
        <v>0</v>
      </c>
      <c r="J21" s="22"/>
    </row>
    <row r="22" s="7" customFormat="1" ht="12.75" customHeight="1" spans="1:10">
      <c r="A22" s="125" t="s">
        <v>39</v>
      </c>
      <c r="B22" s="125" t="s">
        <v>36</v>
      </c>
      <c r="C22" s="126"/>
      <c r="D22" s="126"/>
      <c r="E22" s="126"/>
      <c r="F22" s="126"/>
      <c r="G22" s="126"/>
      <c r="H22" s="126"/>
      <c r="I22" s="148">
        <f t="shared" si="0"/>
        <v>0</v>
      </c>
      <c r="J22" s="139"/>
    </row>
    <row r="23" s="7" customFormat="1" ht="12.75" customHeight="1" spans="1:10">
      <c r="A23" s="125"/>
      <c r="B23" s="125"/>
      <c r="C23" s="126"/>
      <c r="D23" s="126"/>
      <c r="E23" s="126"/>
      <c r="F23" s="126"/>
      <c r="G23" s="126"/>
      <c r="H23" s="126"/>
      <c r="I23" s="148"/>
      <c r="J23" s="139"/>
    </row>
    <row r="24" s="7" customFormat="1" ht="12.75" customHeight="1" spans="1:10">
      <c r="A24" s="125" t="s">
        <v>40</v>
      </c>
      <c r="B24" s="125" t="s">
        <v>41</v>
      </c>
      <c r="C24" s="126"/>
      <c r="D24" s="126"/>
      <c r="E24" s="126"/>
      <c r="F24" s="126"/>
      <c r="G24" s="126"/>
      <c r="H24" s="126"/>
      <c r="I24" s="148">
        <f t="shared" si="0"/>
        <v>0</v>
      </c>
      <c r="J24" s="139"/>
    </row>
    <row r="25" s="7" customFormat="1" ht="12.75" customHeight="1" spans="1:10">
      <c r="A25" s="125" t="s">
        <v>42</v>
      </c>
      <c r="B25" s="125" t="s">
        <v>38</v>
      </c>
      <c r="C25" s="128"/>
      <c r="D25" s="127"/>
      <c r="E25" s="127"/>
      <c r="F25" s="127"/>
      <c r="G25" s="127"/>
      <c r="H25" s="127"/>
      <c r="I25" s="149">
        <f>IF(I24=0,,(C24*C25+D24*D25+E24*E25+F24*F25+G24*G25+H24*H25)/I24)</f>
        <v>0</v>
      </c>
      <c r="J25" s="139"/>
    </row>
    <row r="26" s="7" customFormat="1" ht="26" customHeight="1" spans="1:10">
      <c r="A26" s="125" t="s">
        <v>43</v>
      </c>
      <c r="B26" s="125" t="s">
        <v>36</v>
      </c>
      <c r="C26" s="126"/>
      <c r="D26" s="126"/>
      <c r="E26" s="126"/>
      <c r="F26" s="126"/>
      <c r="G26" s="126"/>
      <c r="H26" s="126"/>
      <c r="I26" s="148">
        <f>SUM(C26:H26)</f>
        <v>0</v>
      </c>
      <c r="J26" s="139"/>
    </row>
    <row r="27" s="7" customFormat="1" ht="12.75" customHeight="1" spans="1:10">
      <c r="A27" s="129"/>
      <c r="B27" s="129"/>
      <c r="C27" s="130"/>
      <c r="D27" s="130"/>
      <c r="E27" s="130"/>
      <c r="F27" s="130"/>
      <c r="G27" s="130"/>
      <c r="H27" s="130"/>
      <c r="I27" s="130"/>
      <c r="J27" s="150"/>
    </row>
    <row r="28" s="7" customFormat="1" ht="12.75" customHeight="1" spans="1:10">
      <c r="A28" s="125" t="s">
        <v>44</v>
      </c>
      <c r="B28" s="125" t="s">
        <v>36</v>
      </c>
      <c r="C28" s="126"/>
      <c r="D28" s="126"/>
      <c r="E28" s="126"/>
      <c r="F28" s="126"/>
      <c r="G28" s="126"/>
      <c r="H28" s="126"/>
      <c r="I28" s="148">
        <f>SUM(C28:H28)</f>
        <v>0</v>
      </c>
      <c r="J28" s="139"/>
    </row>
    <row r="29" s="7" customFormat="1" ht="12.75" customHeight="1" spans="1:10">
      <c r="A29" s="125" t="s">
        <v>45</v>
      </c>
      <c r="B29" s="125" t="s">
        <v>38</v>
      </c>
      <c r="C29" s="127"/>
      <c r="D29" s="127"/>
      <c r="E29" s="127"/>
      <c r="F29" s="127"/>
      <c r="G29" s="127"/>
      <c r="H29" s="127"/>
      <c r="I29" s="149">
        <f>IF(I28=0,,(C28*C29+D28*D29+E28*E29+F28*F29+G28*G29+H28*H29)/I28)</f>
        <v>0</v>
      </c>
      <c r="J29" s="22"/>
    </row>
    <row r="30" s="99" customFormat="1" ht="12.75" customHeight="1" spans="1:10">
      <c r="A30" s="131"/>
      <c r="B30" s="131"/>
      <c r="C30" s="132"/>
      <c r="D30" s="132"/>
      <c r="E30" s="132"/>
      <c r="F30" s="132"/>
      <c r="G30" s="132"/>
      <c r="H30" s="132"/>
      <c r="I30" s="132"/>
      <c r="J30" s="151"/>
    </row>
    <row r="31" s="7" customFormat="1" ht="12.75" customHeight="1" spans="1:10">
      <c r="A31" s="125"/>
      <c r="B31" s="125"/>
      <c r="C31" s="133"/>
      <c r="D31" s="133"/>
      <c r="E31" s="133"/>
      <c r="F31" s="133"/>
      <c r="G31" s="133"/>
      <c r="H31" s="133"/>
      <c r="I31" s="133"/>
      <c r="J31" s="152"/>
    </row>
    <row r="32" s="7" customFormat="1" ht="12.75" customHeight="1" spans="1:10">
      <c r="A32" s="122" t="s">
        <v>46</v>
      </c>
      <c r="B32" s="122"/>
      <c r="C32" s="134"/>
      <c r="D32" s="134"/>
      <c r="E32" s="134"/>
      <c r="F32" s="134"/>
      <c r="G32" s="134"/>
      <c r="H32" s="134"/>
      <c r="I32" s="134"/>
      <c r="J32" s="111"/>
    </row>
    <row r="33" s="7" customFormat="1" ht="12.75" customHeight="1" spans="1:10">
      <c r="A33" s="125" t="s">
        <v>47</v>
      </c>
      <c r="B33" s="125" t="s">
        <v>48</v>
      </c>
      <c r="C33" s="126"/>
      <c r="D33" s="126"/>
      <c r="E33" s="126"/>
      <c r="F33" s="126"/>
      <c r="G33" s="126"/>
      <c r="H33" s="126"/>
      <c r="I33" s="148">
        <f>SUM(C33:H33)</f>
        <v>0</v>
      </c>
      <c r="J33" s="22"/>
    </row>
    <row r="34" s="7" customFormat="1" ht="12.75" customHeight="1" spans="1:10">
      <c r="A34" s="125" t="s">
        <v>49</v>
      </c>
      <c r="B34" s="110" t="s">
        <v>50</v>
      </c>
      <c r="C34" s="127"/>
      <c r="D34" s="127"/>
      <c r="E34" s="127"/>
      <c r="F34" s="127"/>
      <c r="G34" s="127"/>
      <c r="H34" s="127"/>
      <c r="I34" s="149">
        <f>IF(I33=0,,(C33*C34+D33*D34+E33*E34+F33*F34+G33*G34+H33*H34)/I33)</f>
        <v>0</v>
      </c>
      <c r="J34" s="22"/>
    </row>
    <row r="35" s="99" customFormat="1" ht="12.75" customHeight="1" spans="1:10">
      <c r="A35" s="125" t="s">
        <v>51</v>
      </c>
      <c r="B35" s="125"/>
      <c r="C35" s="126"/>
      <c r="D35" s="126"/>
      <c r="E35" s="126"/>
      <c r="F35" s="126"/>
      <c r="G35" s="126"/>
      <c r="H35" s="126"/>
      <c r="I35" s="148">
        <f>SUM(C35:H35)</f>
        <v>0</v>
      </c>
      <c r="J35" s="139"/>
    </row>
    <row r="36" s="99" customFormat="1" ht="12.75" customHeight="1" spans="1:10">
      <c r="A36" s="125"/>
      <c r="B36" s="125"/>
      <c r="C36" s="126"/>
      <c r="D36" s="126"/>
      <c r="E36" s="126"/>
      <c r="F36" s="126"/>
      <c r="G36" s="126"/>
      <c r="H36" s="126"/>
      <c r="I36" s="148"/>
      <c r="J36" s="139"/>
    </row>
    <row r="37" s="99" customFormat="1" ht="12.75" customHeight="1" spans="1:10">
      <c r="A37" s="125" t="s">
        <v>40</v>
      </c>
      <c r="B37" s="125" t="s">
        <v>48</v>
      </c>
      <c r="C37" s="126"/>
      <c r="D37" s="126"/>
      <c r="E37" s="126"/>
      <c r="F37" s="126"/>
      <c r="G37" s="126"/>
      <c r="H37" s="126"/>
      <c r="I37" s="148">
        <f>SUM(C37:H37)</f>
        <v>0</v>
      </c>
      <c r="J37" s="139"/>
    </row>
    <row r="38" s="99" customFormat="1" ht="12.75" customHeight="1" spans="1:10">
      <c r="A38" s="125" t="s">
        <v>42</v>
      </c>
      <c r="B38" s="110" t="s">
        <v>50</v>
      </c>
      <c r="C38" s="128"/>
      <c r="D38" s="127"/>
      <c r="E38" s="127"/>
      <c r="F38" s="127"/>
      <c r="G38" s="127"/>
      <c r="H38" s="127"/>
      <c r="I38" s="149">
        <f>IF(I37=0,,(C37*C38+D37*D38+E37*E38+F37*F38+G37*G38+H37*H38)/I37)</f>
        <v>0</v>
      </c>
      <c r="J38" s="139"/>
    </row>
    <row r="39" s="7" customFormat="1" ht="12.75" customHeight="1" spans="1:10">
      <c r="A39" s="129"/>
      <c r="B39" s="129"/>
      <c r="C39" s="134"/>
      <c r="D39" s="134"/>
      <c r="E39" s="134"/>
      <c r="F39" s="134"/>
      <c r="G39" s="134"/>
      <c r="H39" s="134"/>
      <c r="I39" s="134"/>
      <c r="J39" s="153"/>
    </row>
    <row r="40" s="7" customFormat="1" ht="12.75" customHeight="1" spans="1:10">
      <c r="A40" s="125" t="s">
        <v>44</v>
      </c>
      <c r="B40" s="125" t="s">
        <v>48</v>
      </c>
      <c r="C40" s="126"/>
      <c r="D40" s="126"/>
      <c r="E40" s="126"/>
      <c r="F40" s="126"/>
      <c r="G40" s="126"/>
      <c r="H40" s="126"/>
      <c r="I40" s="148">
        <f>SUM(C40:H40)</f>
        <v>0</v>
      </c>
      <c r="J40" s="22"/>
    </row>
    <row r="41" s="7" customFormat="1" ht="12.75" customHeight="1" spans="1:10">
      <c r="A41" s="125" t="s">
        <v>45</v>
      </c>
      <c r="B41" s="110" t="s">
        <v>50</v>
      </c>
      <c r="C41" s="127"/>
      <c r="D41" s="127"/>
      <c r="E41" s="127"/>
      <c r="F41" s="127"/>
      <c r="G41" s="127"/>
      <c r="H41" s="127"/>
      <c r="I41" s="149">
        <f>IF(I40=0,,(C40*C41+D40*D41+E40*E41+F40*F41+G40*G41+H40*H41)/I40)</f>
        <v>0</v>
      </c>
      <c r="J41" s="22"/>
    </row>
    <row r="42" s="99" customFormat="1" ht="12.75" customHeight="1" spans="1:10">
      <c r="A42" s="131"/>
      <c r="B42" s="131"/>
      <c r="C42" s="133"/>
      <c r="D42" s="133"/>
      <c r="E42" s="133"/>
      <c r="F42" s="133"/>
      <c r="G42" s="133"/>
      <c r="H42" s="133"/>
      <c r="I42" s="133"/>
      <c r="J42" s="152"/>
    </row>
    <row r="43" s="7" customFormat="1" ht="12.75" customHeight="1" spans="1:10">
      <c r="A43" s="135"/>
      <c r="B43" s="119"/>
      <c r="C43" s="136"/>
      <c r="D43" s="136"/>
      <c r="E43" s="136"/>
      <c r="F43" s="49"/>
      <c r="G43" s="49"/>
      <c r="H43" s="49"/>
      <c r="I43" s="49"/>
      <c r="J43" s="49"/>
    </row>
    <row r="44" s="7" customFormat="1" ht="12.75" customHeight="1" spans="1:9">
      <c r="A44" s="110"/>
      <c r="B44" s="110" t="s">
        <v>13</v>
      </c>
      <c r="C44" s="20" t="s">
        <v>52</v>
      </c>
      <c r="D44" s="20" t="s">
        <v>53</v>
      </c>
      <c r="E44" s="137" t="s">
        <v>54</v>
      </c>
      <c r="F44" s="138"/>
      <c r="G44" s="138"/>
      <c r="H44" s="138"/>
      <c r="I44" s="154"/>
    </row>
    <row r="45" s="7" customFormat="1" ht="29.25" customHeight="1" spans="1:9">
      <c r="A45" s="110" t="s">
        <v>55</v>
      </c>
      <c r="B45" s="110" t="s">
        <v>56</v>
      </c>
      <c r="C45" s="139"/>
      <c r="D45" s="140">
        <v>0.1</v>
      </c>
      <c r="E45" s="141" t="s">
        <v>57</v>
      </c>
      <c r="F45" s="142"/>
      <c r="G45" s="142"/>
      <c r="H45" s="142"/>
      <c r="I45" s="155"/>
    </row>
    <row r="46" s="7" customFormat="1" ht="30" customHeight="1" spans="1:9">
      <c r="A46" s="110" t="s">
        <v>58</v>
      </c>
      <c r="B46" s="110" t="s">
        <v>59</v>
      </c>
      <c r="C46" s="143" t="s">
        <v>60</v>
      </c>
      <c r="D46" s="140">
        <v>0.02</v>
      </c>
      <c r="E46" s="141"/>
      <c r="F46" s="142"/>
      <c r="G46" s="142"/>
      <c r="H46" s="142"/>
      <c r="I46" s="155"/>
    </row>
    <row r="47" s="7" customFormat="1" ht="12.75" customHeight="1" spans="1:5">
      <c r="A47" s="119"/>
      <c r="B47" s="119"/>
      <c r="C47" s="47"/>
      <c r="D47" s="47"/>
      <c r="E47" s="47"/>
    </row>
    <row r="48" s="7" customFormat="1" ht="12.75" customHeight="1" spans="1:10">
      <c r="A48" s="144" t="s">
        <v>61</v>
      </c>
      <c r="B48" s="144"/>
      <c r="C48" s="144"/>
      <c r="D48" s="144"/>
      <c r="E48" s="144"/>
      <c r="F48" s="144"/>
      <c r="G48" s="144"/>
      <c r="H48" s="144"/>
      <c r="I48" s="144"/>
      <c r="J48" s="144"/>
    </row>
    <row r="49" s="7" customFormat="1" ht="12.75" customHeight="1" spans="1:10">
      <c r="A49" s="144" t="s">
        <v>62</v>
      </c>
      <c r="B49" s="144"/>
      <c r="C49" s="144"/>
      <c r="D49" s="144"/>
      <c r="E49" s="144"/>
      <c r="F49" s="144"/>
      <c r="G49" s="144"/>
      <c r="H49" s="144"/>
      <c r="I49" s="144"/>
      <c r="J49" s="144"/>
    </row>
    <row r="50" s="7" customFormat="1" ht="12.75" customHeight="1" spans="1:10">
      <c r="A50" s="144" t="s">
        <v>63</v>
      </c>
      <c r="B50" s="144"/>
      <c r="C50" s="144"/>
      <c r="D50" s="144"/>
      <c r="E50" s="144"/>
      <c r="F50" s="144"/>
      <c r="G50" s="144"/>
      <c r="H50" s="144"/>
      <c r="I50" s="144"/>
      <c r="J50" s="144"/>
    </row>
    <row r="51" s="7" customFormat="1" ht="12.75" customHeight="1" spans="1:10">
      <c r="A51" s="144" t="s">
        <v>64</v>
      </c>
      <c r="B51" s="144"/>
      <c r="C51" s="144"/>
      <c r="D51" s="144"/>
      <c r="E51" s="144"/>
      <c r="F51" s="144"/>
      <c r="G51" s="144"/>
      <c r="H51" s="144"/>
      <c r="I51" s="144"/>
      <c r="J51" s="144"/>
    </row>
    <row r="52" s="7" customFormat="1" ht="12.75" customHeight="1" spans="1:10">
      <c r="A52" s="144" t="s">
        <v>65</v>
      </c>
      <c r="B52" s="144"/>
      <c r="C52" s="144"/>
      <c r="D52" s="144"/>
      <c r="E52" s="144"/>
      <c r="F52" s="144"/>
      <c r="G52" s="144"/>
      <c r="H52" s="144"/>
      <c r="I52" s="144"/>
      <c r="J52" s="144"/>
    </row>
    <row r="53" s="7" customFormat="1" ht="78" customHeight="1" spans="1:10">
      <c r="A53" s="144" t="s">
        <v>66</v>
      </c>
      <c r="B53" s="144"/>
      <c r="C53" s="144"/>
      <c r="D53" s="144"/>
      <c r="E53" s="144"/>
      <c r="F53" s="144"/>
      <c r="G53" s="144"/>
      <c r="H53" s="144"/>
      <c r="I53" s="144"/>
      <c r="J53" s="144"/>
    </row>
    <row r="54" s="7" customFormat="1" ht="12.75" customHeight="1" spans="1:10">
      <c r="A54" s="144" t="s">
        <v>67</v>
      </c>
      <c r="B54" s="144"/>
      <c r="C54" s="144"/>
      <c r="D54" s="144"/>
      <c r="E54" s="144"/>
      <c r="F54" s="144"/>
      <c r="G54" s="144"/>
      <c r="H54" s="144"/>
      <c r="I54" s="144"/>
      <c r="J54" s="144"/>
    </row>
    <row r="55" s="7" customFormat="1" ht="12.75" customHeight="1" spans="1:10">
      <c r="A55" s="144" t="s">
        <v>68</v>
      </c>
      <c r="B55" s="144"/>
      <c r="C55" s="144"/>
      <c r="D55" s="144"/>
      <c r="E55" s="144"/>
      <c r="F55" s="144"/>
      <c r="G55" s="144"/>
      <c r="H55" s="144"/>
      <c r="I55" s="144"/>
      <c r="J55" s="144"/>
    </row>
    <row r="56" s="7" customFormat="1" ht="12.75" customHeight="1" spans="1:10">
      <c r="A56" s="144" t="s">
        <v>69</v>
      </c>
      <c r="B56" s="144"/>
      <c r="C56" s="144"/>
      <c r="D56" s="144"/>
      <c r="E56" s="144"/>
      <c r="F56" s="144"/>
      <c r="G56" s="144"/>
      <c r="H56" s="144"/>
      <c r="I56" s="144"/>
      <c r="J56" s="144"/>
    </row>
    <row r="57" s="7" customFormat="1" ht="12.75" customHeight="1" spans="1:10">
      <c r="A57" s="144" t="s">
        <v>70</v>
      </c>
      <c r="B57" s="144"/>
      <c r="C57" s="144"/>
      <c r="D57" s="144"/>
      <c r="E57" s="144"/>
      <c r="F57" s="144"/>
      <c r="G57" s="144"/>
      <c r="H57" s="144"/>
      <c r="I57" s="144"/>
      <c r="J57" s="144"/>
    </row>
    <row r="58" s="7" customFormat="1" ht="49.5" customHeight="1" spans="1:10">
      <c r="A58" s="144" t="s">
        <v>71</v>
      </c>
      <c r="B58" s="144"/>
      <c r="C58" s="144"/>
      <c r="D58" s="144"/>
      <c r="E58" s="144"/>
      <c r="F58" s="144"/>
      <c r="G58" s="144"/>
      <c r="H58" s="144"/>
      <c r="I58" s="144"/>
      <c r="J58" s="144"/>
    </row>
    <row r="59" s="7" customFormat="1" ht="20.4" spans="1:2">
      <c r="A59" s="3" t="s">
        <v>72</v>
      </c>
      <c r="B59" s="104"/>
    </row>
    <row r="60" s="7" customFormat="1" ht="13.2" spans="2:2">
      <c r="B60" s="104"/>
    </row>
    <row r="61" s="7" customFormat="1" ht="13.2" spans="1:2">
      <c r="A61" s="145" t="e">
        <f>#REF!</f>
        <v>#REF!</v>
      </c>
      <c r="B61" s="104"/>
    </row>
    <row r="62" s="7" customFormat="1" ht="13.2" spans="2:2">
      <c r="B62" s="104"/>
    </row>
    <row r="63" s="7" customFormat="1" ht="13.2" spans="2:2">
      <c r="B63" s="104"/>
    </row>
    <row r="64" s="7" customFormat="1" ht="13.2" spans="2:2">
      <c r="B64" s="104"/>
    </row>
    <row r="65" s="7" customFormat="1" ht="13.2" spans="1:2">
      <c r="A65" s="104"/>
      <c r="B65" s="104"/>
    </row>
    <row r="69" spans="1:1">
      <c r="A69" s="156"/>
    </row>
    <row r="70" spans="1:1">
      <c r="A70" s="156"/>
    </row>
    <row r="71" spans="1:1">
      <c r="A71" s="157"/>
    </row>
    <row r="72" spans="1:1">
      <c r="A72" s="157"/>
    </row>
    <row r="73" spans="1:1">
      <c r="A73" s="100" t="s">
        <v>73</v>
      </c>
    </row>
    <row r="74" spans="1:1">
      <c r="A74" s="100" t="s">
        <v>74</v>
      </c>
    </row>
    <row r="76" spans="1:1">
      <c r="A76" s="100" t="s">
        <v>75</v>
      </c>
    </row>
    <row r="77" spans="1:1">
      <c r="A77" s="100" t="s">
        <v>76</v>
      </c>
    </row>
    <row r="79" ht="13.2" spans="1:2">
      <c r="A79" s="158">
        <v>1</v>
      </c>
      <c r="B79" s="159">
        <v>0.01</v>
      </c>
    </row>
    <row r="80" ht="13.2" spans="1:2">
      <c r="A80" s="158">
        <v>0.95</v>
      </c>
      <c r="B80" s="159">
        <v>0.02</v>
      </c>
    </row>
    <row r="81" ht="13.2" spans="1:2">
      <c r="A81" s="160">
        <v>0.9</v>
      </c>
      <c r="B81" s="159">
        <v>0.03</v>
      </c>
    </row>
    <row r="82" ht="13.2" spans="1:2">
      <c r="A82" s="160">
        <v>0.85</v>
      </c>
      <c r="B82" s="159">
        <v>0.04</v>
      </c>
    </row>
    <row r="83" ht="13.2" spans="1:2">
      <c r="A83" s="160">
        <v>0.8</v>
      </c>
      <c r="B83" s="159">
        <v>0.05</v>
      </c>
    </row>
    <row r="84" ht="13.2" spans="1:2">
      <c r="A84" s="160">
        <v>0.75</v>
      </c>
      <c r="B84" s="159">
        <v>0.06</v>
      </c>
    </row>
    <row r="85" ht="13.2" spans="1:2">
      <c r="A85" s="160">
        <v>0.7</v>
      </c>
      <c r="B85" s="159">
        <v>0.07</v>
      </c>
    </row>
    <row r="86" ht="13.2" spans="1:2">
      <c r="A86" s="160">
        <v>0.65</v>
      </c>
      <c r="B86" s="159">
        <v>0.08</v>
      </c>
    </row>
    <row r="87" ht="13.2" spans="1:2">
      <c r="A87" s="160">
        <v>0.6</v>
      </c>
      <c r="B87" s="159">
        <v>0.09</v>
      </c>
    </row>
    <row r="88" ht="13.2" spans="1:2">
      <c r="A88" s="160">
        <v>0.55</v>
      </c>
      <c r="B88" s="159">
        <v>0.1</v>
      </c>
    </row>
    <row r="89" ht="13.2" spans="1:2">
      <c r="A89" s="158">
        <v>0.5</v>
      </c>
      <c r="B89" s="159">
        <v>0.11</v>
      </c>
    </row>
    <row r="90" ht="13.2" spans="1:2">
      <c r="A90" s="158">
        <v>0.45</v>
      </c>
      <c r="B90" s="159">
        <v>0.12</v>
      </c>
    </row>
    <row r="91" ht="13.2" spans="1:2">
      <c r="A91" s="161">
        <v>0.4</v>
      </c>
      <c r="B91" s="159">
        <v>0.13</v>
      </c>
    </row>
    <row r="92" ht="13.2" spans="1:2">
      <c r="A92" s="161">
        <v>0.35</v>
      </c>
      <c r="B92" s="159">
        <v>0.14</v>
      </c>
    </row>
    <row r="93" ht="13.2" spans="1:2">
      <c r="A93" s="161">
        <v>0.3</v>
      </c>
      <c r="B93" s="159">
        <v>0.15</v>
      </c>
    </row>
    <row r="94" ht="13.2" spans="1:2">
      <c r="A94" s="161">
        <v>0.25</v>
      </c>
      <c r="B94" s="159">
        <v>0.16</v>
      </c>
    </row>
    <row r="95" ht="13.2" spans="1:2">
      <c r="A95" s="161">
        <v>0.2</v>
      </c>
      <c r="B95" s="159">
        <v>0.17</v>
      </c>
    </row>
    <row r="96" ht="13.2" spans="1:2">
      <c r="A96" s="161">
        <v>0.15</v>
      </c>
      <c r="B96" s="159">
        <v>0.18</v>
      </c>
    </row>
    <row r="97" ht="13.2" spans="1:2">
      <c r="A97" s="161">
        <v>0.1</v>
      </c>
      <c r="B97" s="159">
        <v>0.19</v>
      </c>
    </row>
    <row r="98" ht="13.2" spans="1:2">
      <c r="A98" s="161">
        <v>0.05</v>
      </c>
      <c r="B98" s="159">
        <v>0.2</v>
      </c>
    </row>
    <row r="99" spans="1:1">
      <c r="A99" s="162"/>
    </row>
    <row r="100" spans="1:1">
      <c r="A100" s="163">
        <v>0</v>
      </c>
    </row>
    <row r="101" spans="1:1">
      <c r="A101" s="163">
        <v>1</v>
      </c>
    </row>
  </sheetData>
  <sheetProtection password="CC3D" sheet="1" objects="1"/>
  <mergeCells count="16">
    <mergeCell ref="A1:J1"/>
    <mergeCell ref="A9:J9"/>
    <mergeCell ref="E44:I44"/>
    <mergeCell ref="E45:I45"/>
    <mergeCell ref="E46:I46"/>
    <mergeCell ref="A48:J48"/>
    <mergeCell ref="A49:J49"/>
    <mergeCell ref="A50:J50"/>
    <mergeCell ref="A51:J51"/>
    <mergeCell ref="A52:J52"/>
    <mergeCell ref="A53:J53"/>
    <mergeCell ref="A54:J54"/>
    <mergeCell ref="A55:J55"/>
    <mergeCell ref="A56:J56"/>
    <mergeCell ref="A57:J57"/>
    <mergeCell ref="A58:J58"/>
  </mergeCells>
  <dataValidations count="5">
    <dataValidation type="list" allowBlank="1" showInputMessage="1" showErrorMessage="1" sqref="C6">
      <formula1>$A$100:$A$101</formula1>
    </dataValidation>
    <dataValidation type="list" allowBlank="1" showInputMessage="1" showErrorMessage="1" sqref="D46">
      <formula1>$B$79:$B$98</formula1>
    </dataValidation>
    <dataValidation type="list" allowBlank="1" showInputMessage="1" showErrorMessage="1" sqref="D45">
      <formula1>$A$79:$A$98</formula1>
    </dataValidation>
    <dataValidation type="list" allowBlank="1" showInputMessage="1" showErrorMessage="1" sqref="C13">
      <formula1>$A$73:$A$74</formula1>
    </dataValidation>
    <dataValidation type="list" allowBlank="1" showInputMessage="1" showErrorMessage="1" sqref="C15">
      <formula1>$A$76:$A$77</formula1>
    </dataValidation>
  </dataValidations>
  <pageMargins left="0.18" right="0.23" top="0.23" bottom="0.5" header="0.26" footer="0.5"/>
  <pageSetup paperSize="9" scale="80" orientation="landscape"/>
  <headerFooter alignWithMargins="0">
    <oddFooter>&amp;R&amp;P/&amp;N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indexed="43"/>
  </sheetPr>
  <dimension ref="A1:X276"/>
  <sheetViews>
    <sheetView workbookViewId="0">
      <selection activeCell="H37" sqref="H37"/>
    </sheetView>
  </sheetViews>
  <sheetFormatPr defaultColWidth="9" defaultRowHeight="13.2"/>
  <cols>
    <col min="1" max="2" width="9" style="7"/>
    <col min="3" max="3" width="25.2314814814815" style="7" customWidth="1"/>
    <col min="4" max="4" width="4.37962962962963" style="7" customWidth="1"/>
    <col min="5" max="5" width="10.5" style="7" customWidth="1"/>
    <col min="6" max="17" width="10.6296296296296" style="7" customWidth="1"/>
    <col min="18" max="18" width="8" style="7" customWidth="1"/>
    <col min="19" max="24" width="7.12962962962963" style="7" customWidth="1"/>
    <col min="25" max="16384" width="9" style="7"/>
  </cols>
  <sheetData>
    <row r="1" ht="22.8" spans="1:24">
      <c r="A1" s="8" t="s">
        <v>77</v>
      </c>
      <c r="B1" s="8"/>
      <c r="C1" s="8"/>
      <c r="D1" s="8"/>
      <c r="E1" s="8"/>
      <c r="F1" s="8"/>
      <c r="G1" s="8"/>
      <c r="H1" s="8"/>
      <c r="I1" s="8"/>
      <c r="J1" s="8"/>
      <c r="K1" s="8"/>
      <c r="L1" s="8"/>
      <c r="M1" s="8"/>
      <c r="N1" s="8"/>
      <c r="O1" s="8"/>
      <c r="P1" s="8"/>
      <c r="Q1" s="8"/>
      <c r="R1" s="8"/>
      <c r="S1" s="8"/>
      <c r="T1" s="8"/>
      <c r="U1" s="8"/>
      <c r="V1" s="8"/>
      <c r="W1" s="8"/>
      <c r="X1" s="8"/>
    </row>
    <row r="3" spans="1:7">
      <c r="A3" s="7" t="str">
        <f>'OIC input for DSR cal'!A3</f>
        <v>Borrower: </v>
      </c>
      <c r="C3" s="9">
        <f>'OIC input for DSR cal'!C3</f>
        <v>0</v>
      </c>
      <c r="G3" s="7" t="s">
        <v>78</v>
      </c>
    </row>
    <row r="4" spans="1:9">
      <c r="A4" s="7" t="str">
        <f>'OIC input for DSR cal'!A4</f>
        <v>Propose loan amount:</v>
      </c>
      <c r="C4" s="9">
        <f>'OIC input for DSR cal'!C4</f>
        <v>0</v>
      </c>
      <c r="G4" s="7" t="str">
        <f>'OIC input for DSR cal'!F3</f>
        <v>Total gp exposure: </v>
      </c>
      <c r="I4" s="7">
        <f>'OIC input for DSR cal'!H3</f>
        <v>0</v>
      </c>
    </row>
    <row r="6" ht="22.8" spans="1:1">
      <c r="A6" s="10" t="s">
        <v>79</v>
      </c>
    </row>
    <row r="7" ht="14.25" customHeight="1" spans="1:24">
      <c r="A7" s="11">
        <f>'OIC input for DSR cal'!C16</f>
        <v>0</v>
      </c>
      <c r="B7" s="12"/>
      <c r="C7" s="13"/>
      <c r="D7" s="14" t="s">
        <v>13</v>
      </c>
      <c r="E7" s="14" t="s">
        <v>80</v>
      </c>
      <c r="F7" s="14" t="s">
        <v>81</v>
      </c>
      <c r="G7" s="14" t="s">
        <v>82</v>
      </c>
      <c r="H7" s="14" t="s">
        <v>83</v>
      </c>
      <c r="I7" s="11" t="s">
        <v>84</v>
      </c>
      <c r="J7" s="11" t="s">
        <v>85</v>
      </c>
      <c r="K7" s="11" t="s">
        <v>86</v>
      </c>
      <c r="L7" s="11" t="s">
        <v>87</v>
      </c>
      <c r="M7" s="11" t="s">
        <v>88</v>
      </c>
      <c r="N7" s="11" t="s">
        <v>89</v>
      </c>
      <c r="O7" s="11" t="s">
        <v>90</v>
      </c>
      <c r="P7" s="11" t="s">
        <v>91</v>
      </c>
      <c r="Q7" s="11" t="s">
        <v>92</v>
      </c>
      <c r="R7" s="11" t="s">
        <v>93</v>
      </c>
      <c r="S7" s="57" t="s">
        <v>94</v>
      </c>
      <c r="T7" s="58"/>
      <c r="U7" s="58"/>
      <c r="V7" s="58"/>
      <c r="W7" s="58"/>
      <c r="X7" s="66"/>
    </row>
    <row r="8" ht="14.25" customHeight="1" spans="1:24">
      <c r="A8" s="11" t="s">
        <v>95</v>
      </c>
      <c r="B8" s="12"/>
      <c r="C8" s="13"/>
      <c r="D8" s="14"/>
      <c r="E8" s="15">
        <f>+'OIC input for DSR cal'!C14</f>
        <v>0</v>
      </c>
      <c r="F8" s="16"/>
      <c r="G8" s="16"/>
      <c r="H8" s="16"/>
      <c r="I8" s="16"/>
      <c r="J8" s="16"/>
      <c r="K8" s="16"/>
      <c r="L8" s="16"/>
      <c r="M8" s="16"/>
      <c r="N8" s="16"/>
      <c r="O8" s="16"/>
      <c r="P8" s="64"/>
      <c r="Q8" s="64"/>
      <c r="R8" s="11"/>
      <c r="S8" s="67"/>
      <c r="T8" s="68"/>
      <c r="U8" s="68"/>
      <c r="V8" s="68"/>
      <c r="W8" s="68"/>
      <c r="X8" s="69"/>
    </row>
    <row r="9" ht="38.5" customHeight="1" spans="1:24">
      <c r="A9" s="17" t="s">
        <v>96</v>
      </c>
      <c r="B9" s="18"/>
      <c r="C9" s="19"/>
      <c r="D9" s="20" t="s">
        <v>8</v>
      </c>
      <c r="E9" s="21"/>
      <c r="F9" s="22"/>
      <c r="G9" s="22"/>
      <c r="H9" s="22"/>
      <c r="I9" s="22"/>
      <c r="J9" s="22"/>
      <c r="K9" s="22"/>
      <c r="L9" s="22"/>
      <c r="M9" s="22"/>
      <c r="N9" s="22"/>
      <c r="O9" s="22"/>
      <c r="P9" s="22"/>
      <c r="Q9" s="22"/>
      <c r="R9" s="70">
        <v>0.1</v>
      </c>
      <c r="S9" s="71"/>
      <c r="T9" s="72"/>
      <c r="U9" s="72"/>
      <c r="V9" s="72"/>
      <c r="W9" s="72"/>
      <c r="X9" s="73"/>
    </row>
    <row r="10" ht="38.5" customHeight="1" spans="1:24">
      <c r="A10" s="17" t="s">
        <v>97</v>
      </c>
      <c r="B10" s="18"/>
      <c r="C10" s="19"/>
      <c r="D10" s="20" t="s">
        <v>16</v>
      </c>
      <c r="E10" s="22"/>
      <c r="F10" s="22"/>
      <c r="G10" s="22"/>
      <c r="H10" s="22"/>
      <c r="I10" s="22"/>
      <c r="J10" s="22"/>
      <c r="K10" s="22"/>
      <c r="L10" s="22"/>
      <c r="M10" s="22"/>
      <c r="N10" s="22"/>
      <c r="O10" s="22"/>
      <c r="P10" s="22"/>
      <c r="Q10" s="22"/>
      <c r="R10" s="70">
        <v>0</v>
      </c>
      <c r="S10" s="71"/>
      <c r="T10" s="72"/>
      <c r="U10" s="72"/>
      <c r="V10" s="72"/>
      <c r="W10" s="72"/>
      <c r="X10" s="73"/>
    </row>
    <row r="11" ht="28" customHeight="1" spans="1:24">
      <c r="A11" s="17" t="s">
        <v>98</v>
      </c>
      <c r="B11" s="18"/>
      <c r="C11" s="19"/>
      <c r="D11" s="20" t="s">
        <v>18</v>
      </c>
      <c r="E11" s="21"/>
      <c r="F11" s="21"/>
      <c r="G11" s="21"/>
      <c r="H11" s="21"/>
      <c r="I11" s="21"/>
      <c r="J11" s="21"/>
      <c r="K11" s="21"/>
      <c r="L11" s="21"/>
      <c r="M11" s="21"/>
      <c r="N11" s="21"/>
      <c r="O11" s="21"/>
      <c r="P11" s="21"/>
      <c r="Q11" s="21"/>
      <c r="R11" s="37" t="s">
        <v>60</v>
      </c>
      <c r="S11" s="71"/>
      <c r="T11" s="72"/>
      <c r="U11" s="72"/>
      <c r="V11" s="72"/>
      <c r="W11" s="72"/>
      <c r="X11" s="73"/>
    </row>
    <row r="12" s="1" customFormat="1" ht="38.5" customHeight="1" spans="1:24">
      <c r="A12" s="23" t="s">
        <v>99</v>
      </c>
      <c r="B12" s="24"/>
      <c r="C12" s="25"/>
      <c r="D12" s="26" t="s">
        <v>22</v>
      </c>
      <c r="E12" s="21"/>
      <c r="F12" s="27"/>
      <c r="G12" s="28"/>
      <c r="H12" s="28"/>
      <c r="I12" s="27"/>
      <c r="J12" s="28"/>
      <c r="K12" s="28"/>
      <c r="L12" s="28"/>
      <c r="M12" s="28"/>
      <c r="N12" s="28"/>
      <c r="O12" s="28"/>
      <c r="P12" s="28"/>
      <c r="Q12" s="28"/>
      <c r="R12" s="36" t="s">
        <v>60</v>
      </c>
      <c r="S12" s="71"/>
      <c r="T12" s="72"/>
      <c r="U12" s="72"/>
      <c r="V12" s="72"/>
      <c r="W12" s="72"/>
      <c r="X12" s="73"/>
    </row>
    <row r="13" ht="28" customHeight="1" spans="1:24">
      <c r="A13" s="17" t="s">
        <v>100</v>
      </c>
      <c r="B13" s="18"/>
      <c r="C13" s="19"/>
      <c r="D13" s="20" t="s">
        <v>24</v>
      </c>
      <c r="E13" s="21"/>
      <c r="F13" s="21"/>
      <c r="G13" s="21"/>
      <c r="H13" s="21"/>
      <c r="I13" s="21"/>
      <c r="J13" s="21"/>
      <c r="K13" s="21"/>
      <c r="L13" s="21"/>
      <c r="M13" s="21"/>
      <c r="N13" s="21"/>
      <c r="O13" s="21"/>
      <c r="P13" s="21"/>
      <c r="Q13" s="21"/>
      <c r="R13" s="37" t="s">
        <v>60</v>
      </c>
      <c r="S13" s="71"/>
      <c r="T13" s="72"/>
      <c r="U13" s="72"/>
      <c r="V13" s="72"/>
      <c r="W13" s="72"/>
      <c r="X13" s="73"/>
    </row>
    <row r="14" ht="28" customHeight="1" spans="1:24">
      <c r="A14" s="29" t="s">
        <v>101</v>
      </c>
      <c r="B14" s="30"/>
      <c r="C14" s="31"/>
      <c r="D14" s="20" t="s">
        <v>36</v>
      </c>
      <c r="E14" s="21"/>
      <c r="F14" s="21"/>
      <c r="G14" s="21"/>
      <c r="H14" s="21"/>
      <c r="I14" s="21"/>
      <c r="J14" s="21"/>
      <c r="K14" s="21"/>
      <c r="L14" s="21"/>
      <c r="M14" s="21"/>
      <c r="N14" s="21"/>
      <c r="O14" s="21"/>
      <c r="P14" s="21"/>
      <c r="Q14" s="21"/>
      <c r="R14" s="37" t="s">
        <v>60</v>
      </c>
      <c r="S14" s="71"/>
      <c r="T14" s="72"/>
      <c r="U14" s="72"/>
      <c r="V14" s="72"/>
      <c r="W14" s="72"/>
      <c r="X14" s="73"/>
    </row>
    <row r="15" ht="28" customHeight="1" spans="1:24">
      <c r="A15" s="32" t="s">
        <v>102</v>
      </c>
      <c r="B15" s="33"/>
      <c r="C15" s="34"/>
      <c r="D15" s="20" t="s">
        <v>36</v>
      </c>
      <c r="E15" s="21"/>
      <c r="F15" s="21"/>
      <c r="G15" s="21"/>
      <c r="H15" s="21"/>
      <c r="I15" s="21"/>
      <c r="J15" s="21"/>
      <c r="K15" s="21"/>
      <c r="L15" s="21"/>
      <c r="M15" s="21"/>
      <c r="N15" s="21"/>
      <c r="O15" s="21"/>
      <c r="P15" s="21"/>
      <c r="Q15" s="21"/>
      <c r="R15" s="37"/>
      <c r="S15" s="71"/>
      <c r="T15" s="72"/>
      <c r="U15" s="72"/>
      <c r="V15" s="72"/>
      <c r="W15" s="72"/>
      <c r="X15" s="73"/>
    </row>
    <row r="16" ht="28" customHeight="1" spans="1:24">
      <c r="A16" s="17" t="s">
        <v>103</v>
      </c>
      <c r="B16" s="18"/>
      <c r="C16" s="19"/>
      <c r="D16" s="20" t="s">
        <v>38</v>
      </c>
      <c r="E16" s="21"/>
      <c r="F16" s="21"/>
      <c r="G16" s="21"/>
      <c r="H16" s="21"/>
      <c r="I16" s="21"/>
      <c r="J16" s="21"/>
      <c r="K16" s="21"/>
      <c r="L16" s="21"/>
      <c r="M16" s="21"/>
      <c r="N16" s="21"/>
      <c r="O16" s="21"/>
      <c r="P16" s="21"/>
      <c r="Q16" s="21"/>
      <c r="R16" s="37" t="s">
        <v>60</v>
      </c>
      <c r="S16" s="71"/>
      <c r="T16" s="72"/>
      <c r="U16" s="72"/>
      <c r="V16" s="72"/>
      <c r="W16" s="72"/>
      <c r="X16" s="73"/>
    </row>
    <row r="17" ht="28" customHeight="1" spans="1:24">
      <c r="A17" s="17" t="s">
        <v>104</v>
      </c>
      <c r="B17" s="18"/>
      <c r="C17" s="19"/>
      <c r="D17" s="20" t="s">
        <v>41</v>
      </c>
      <c r="E17" s="21"/>
      <c r="F17" s="21"/>
      <c r="G17" s="21"/>
      <c r="H17" s="21"/>
      <c r="I17" s="21"/>
      <c r="J17" s="21"/>
      <c r="K17" s="21"/>
      <c r="L17" s="21"/>
      <c r="M17" s="21"/>
      <c r="N17" s="21"/>
      <c r="O17" s="21"/>
      <c r="P17" s="21"/>
      <c r="Q17" s="21"/>
      <c r="R17" s="37"/>
      <c r="S17" s="71"/>
      <c r="T17" s="72"/>
      <c r="U17" s="72"/>
      <c r="V17" s="72"/>
      <c r="W17" s="72"/>
      <c r="X17" s="73"/>
    </row>
    <row r="18" ht="28" customHeight="1" spans="1:24">
      <c r="A18" s="17" t="s">
        <v>105</v>
      </c>
      <c r="B18" s="18"/>
      <c r="C18" s="19"/>
      <c r="D18" s="20" t="s">
        <v>48</v>
      </c>
      <c r="E18" s="21"/>
      <c r="F18" s="21"/>
      <c r="G18" s="21"/>
      <c r="H18" s="21"/>
      <c r="I18" s="21"/>
      <c r="J18" s="21"/>
      <c r="K18" s="21"/>
      <c r="L18" s="21"/>
      <c r="M18" s="21"/>
      <c r="N18" s="21"/>
      <c r="O18" s="21"/>
      <c r="P18" s="21"/>
      <c r="Q18" s="21"/>
      <c r="R18" s="37" t="s">
        <v>60</v>
      </c>
      <c r="S18" s="71"/>
      <c r="T18" s="72"/>
      <c r="U18" s="72"/>
      <c r="V18" s="72"/>
      <c r="W18" s="72"/>
      <c r="X18" s="73"/>
    </row>
    <row r="19" ht="28" customHeight="1" spans="1:24">
      <c r="A19" s="17" t="s">
        <v>106</v>
      </c>
      <c r="B19" s="18"/>
      <c r="C19" s="19"/>
      <c r="D19" s="20" t="s">
        <v>50</v>
      </c>
      <c r="E19" s="21"/>
      <c r="F19" s="22"/>
      <c r="G19" s="22"/>
      <c r="H19" s="22"/>
      <c r="I19" s="22"/>
      <c r="J19" s="22"/>
      <c r="K19" s="22"/>
      <c r="L19" s="22"/>
      <c r="M19" s="22"/>
      <c r="N19" s="22"/>
      <c r="O19" s="22"/>
      <c r="P19" s="22"/>
      <c r="Q19" s="22"/>
      <c r="R19" s="37" t="s">
        <v>60</v>
      </c>
      <c r="S19" s="71"/>
      <c r="T19" s="72"/>
      <c r="U19" s="72"/>
      <c r="V19" s="72"/>
      <c r="W19" s="72"/>
      <c r="X19" s="73"/>
    </row>
    <row r="20" ht="28" customHeight="1" spans="1:24">
      <c r="A20" s="17" t="s">
        <v>107</v>
      </c>
      <c r="B20" s="18"/>
      <c r="C20" s="19"/>
      <c r="D20" s="20" t="s">
        <v>56</v>
      </c>
      <c r="E20" s="21"/>
      <c r="F20" s="22"/>
      <c r="G20" s="22"/>
      <c r="H20" s="22"/>
      <c r="I20" s="22"/>
      <c r="J20" s="22"/>
      <c r="K20" s="22"/>
      <c r="L20" s="22"/>
      <c r="M20" s="22"/>
      <c r="N20" s="22"/>
      <c r="O20" s="22"/>
      <c r="P20" s="22"/>
      <c r="Q20" s="22"/>
      <c r="R20" s="37" t="s">
        <v>60</v>
      </c>
      <c r="S20" s="71"/>
      <c r="T20" s="72"/>
      <c r="U20" s="72"/>
      <c r="V20" s="72"/>
      <c r="W20" s="72"/>
      <c r="X20" s="73"/>
    </row>
    <row r="21" ht="28" customHeight="1" spans="1:24">
      <c r="A21" s="17" t="s">
        <v>108</v>
      </c>
      <c r="B21" s="18"/>
      <c r="C21" s="19"/>
      <c r="D21" s="20" t="s">
        <v>59</v>
      </c>
      <c r="E21" s="22"/>
      <c r="F21" s="22"/>
      <c r="G21" s="22"/>
      <c r="H21" s="22"/>
      <c r="I21" s="22"/>
      <c r="J21" s="22"/>
      <c r="K21" s="22"/>
      <c r="L21" s="22"/>
      <c r="M21" s="22"/>
      <c r="N21" s="22"/>
      <c r="O21" s="22"/>
      <c r="P21" s="22"/>
      <c r="Q21" s="22"/>
      <c r="R21" s="37" t="s">
        <v>60</v>
      </c>
      <c r="S21" s="71"/>
      <c r="T21" s="72"/>
      <c r="U21" s="72"/>
      <c r="V21" s="72"/>
      <c r="W21" s="72"/>
      <c r="X21" s="73"/>
    </row>
    <row r="22" ht="28" customHeight="1" spans="1:24">
      <c r="A22" s="17" t="s">
        <v>109</v>
      </c>
      <c r="B22" s="18"/>
      <c r="C22" s="19"/>
      <c r="D22" s="20" t="s">
        <v>110</v>
      </c>
      <c r="E22" s="22"/>
      <c r="F22" s="22"/>
      <c r="G22" s="22"/>
      <c r="H22" s="22"/>
      <c r="I22" s="22"/>
      <c r="J22" s="22"/>
      <c r="K22" s="22"/>
      <c r="L22" s="22"/>
      <c r="M22" s="22"/>
      <c r="N22" s="22"/>
      <c r="O22" s="22"/>
      <c r="P22" s="22"/>
      <c r="Q22" s="22"/>
      <c r="R22" s="37" t="s">
        <v>60</v>
      </c>
      <c r="S22" s="71"/>
      <c r="T22" s="72"/>
      <c r="U22" s="72"/>
      <c r="V22" s="72"/>
      <c r="W22" s="72"/>
      <c r="X22" s="73"/>
    </row>
    <row r="23" ht="28" customHeight="1" spans="1:24">
      <c r="A23" s="17" t="s">
        <v>111</v>
      </c>
      <c r="B23" s="18"/>
      <c r="C23" s="19"/>
      <c r="D23" s="20" t="s">
        <v>112</v>
      </c>
      <c r="E23" s="21"/>
      <c r="F23" s="21"/>
      <c r="G23" s="21"/>
      <c r="H23" s="21"/>
      <c r="I23" s="21"/>
      <c r="J23" s="21"/>
      <c r="K23" s="21"/>
      <c r="L23" s="21"/>
      <c r="M23" s="21"/>
      <c r="N23" s="21"/>
      <c r="O23" s="21"/>
      <c r="P23" s="21"/>
      <c r="Q23" s="21"/>
      <c r="R23" s="37" t="s">
        <v>60</v>
      </c>
      <c r="S23" s="71"/>
      <c r="T23" s="72"/>
      <c r="U23" s="72"/>
      <c r="V23" s="72"/>
      <c r="W23" s="72"/>
      <c r="X23" s="73"/>
    </row>
    <row r="24" ht="28" customHeight="1" spans="1:24">
      <c r="A24" s="17" t="s">
        <v>113</v>
      </c>
      <c r="B24" s="18"/>
      <c r="C24" s="19"/>
      <c r="D24" s="20" t="s">
        <v>114</v>
      </c>
      <c r="E24" s="22"/>
      <c r="F24" s="22"/>
      <c r="G24" s="22"/>
      <c r="H24" s="22"/>
      <c r="I24" s="22"/>
      <c r="J24" s="22"/>
      <c r="K24" s="22"/>
      <c r="L24" s="22"/>
      <c r="M24" s="22"/>
      <c r="N24" s="22"/>
      <c r="O24" s="22"/>
      <c r="P24" s="22"/>
      <c r="Q24" s="22"/>
      <c r="R24" s="37" t="s">
        <v>60</v>
      </c>
      <c r="S24" s="71"/>
      <c r="T24" s="72"/>
      <c r="U24" s="72"/>
      <c r="V24" s="72"/>
      <c r="W24" s="72"/>
      <c r="X24" s="73"/>
    </row>
    <row r="25" ht="12.75" customHeight="1" spans="1:24">
      <c r="A25" s="17" t="s">
        <v>115</v>
      </c>
      <c r="B25" s="18"/>
      <c r="C25" s="19"/>
      <c r="D25" s="20" t="s">
        <v>116</v>
      </c>
      <c r="E25" s="35"/>
      <c r="F25" s="35"/>
      <c r="G25" s="35"/>
      <c r="H25" s="35"/>
      <c r="I25" s="35"/>
      <c r="J25" s="35"/>
      <c r="K25" s="35"/>
      <c r="L25" s="35"/>
      <c r="M25" s="35"/>
      <c r="N25" s="35"/>
      <c r="O25" s="35"/>
      <c r="P25" s="35"/>
      <c r="Q25" s="35"/>
      <c r="R25" s="37" t="s">
        <v>60</v>
      </c>
      <c r="S25" s="71"/>
      <c r="T25" s="72"/>
      <c r="U25" s="72"/>
      <c r="V25" s="72"/>
      <c r="W25" s="72"/>
      <c r="X25" s="73"/>
    </row>
    <row r="26" ht="12.75" customHeight="1" spans="1:24">
      <c r="A26" s="23" t="s">
        <v>117</v>
      </c>
      <c r="B26" s="24"/>
      <c r="C26" s="25"/>
      <c r="D26" s="26" t="s">
        <v>118</v>
      </c>
      <c r="E26" s="21"/>
      <c r="F26" s="36" t="s">
        <v>60</v>
      </c>
      <c r="G26" s="36" t="s">
        <v>60</v>
      </c>
      <c r="H26" s="36" t="s">
        <v>60</v>
      </c>
      <c r="I26" s="36" t="s">
        <v>60</v>
      </c>
      <c r="J26" s="36" t="s">
        <v>60</v>
      </c>
      <c r="K26" s="36" t="s">
        <v>60</v>
      </c>
      <c r="L26" s="36" t="s">
        <v>60</v>
      </c>
      <c r="M26" s="36" t="s">
        <v>60</v>
      </c>
      <c r="N26" s="36" t="s">
        <v>60</v>
      </c>
      <c r="O26" s="36" t="s">
        <v>60</v>
      </c>
      <c r="P26" s="36" t="s">
        <v>60</v>
      </c>
      <c r="Q26" s="36" t="s">
        <v>60</v>
      </c>
      <c r="R26" s="36" t="s">
        <v>60</v>
      </c>
      <c r="S26" s="71"/>
      <c r="T26" s="72"/>
      <c r="U26" s="72"/>
      <c r="V26" s="72"/>
      <c r="W26" s="72"/>
      <c r="X26" s="73"/>
    </row>
    <row r="27" ht="12.75" customHeight="1" spans="1:24">
      <c r="A27" s="17" t="s">
        <v>119</v>
      </c>
      <c r="B27" s="18"/>
      <c r="C27" s="19"/>
      <c r="D27" s="20" t="s">
        <v>120</v>
      </c>
      <c r="E27" s="35"/>
      <c r="F27" s="35"/>
      <c r="G27" s="35"/>
      <c r="H27" s="35"/>
      <c r="I27" s="35"/>
      <c r="J27" s="35"/>
      <c r="K27" s="35"/>
      <c r="L27" s="35"/>
      <c r="M27" s="35"/>
      <c r="N27" s="35"/>
      <c r="O27" s="35"/>
      <c r="P27" s="35"/>
      <c r="Q27" s="35"/>
      <c r="R27" s="37" t="s">
        <v>60</v>
      </c>
      <c r="S27" s="71"/>
      <c r="T27" s="72"/>
      <c r="U27" s="72"/>
      <c r="V27" s="72"/>
      <c r="W27" s="72"/>
      <c r="X27" s="73"/>
    </row>
    <row r="28" ht="12.75" customHeight="1" spans="1:24">
      <c r="A28" s="23" t="s">
        <v>121</v>
      </c>
      <c r="B28" s="24"/>
      <c r="C28" s="25"/>
      <c r="D28" s="26" t="s">
        <v>122</v>
      </c>
      <c r="E28" s="21"/>
      <c r="F28" s="36" t="s">
        <v>60</v>
      </c>
      <c r="G28" s="36" t="s">
        <v>60</v>
      </c>
      <c r="H28" s="36" t="s">
        <v>60</v>
      </c>
      <c r="I28" s="36" t="s">
        <v>60</v>
      </c>
      <c r="J28" s="36" t="s">
        <v>60</v>
      </c>
      <c r="K28" s="36" t="s">
        <v>60</v>
      </c>
      <c r="L28" s="36" t="s">
        <v>60</v>
      </c>
      <c r="M28" s="36" t="s">
        <v>60</v>
      </c>
      <c r="N28" s="36" t="s">
        <v>60</v>
      </c>
      <c r="O28" s="36" t="s">
        <v>60</v>
      </c>
      <c r="P28" s="36" t="s">
        <v>60</v>
      </c>
      <c r="Q28" s="36" t="s">
        <v>60</v>
      </c>
      <c r="R28" s="36" t="s">
        <v>60</v>
      </c>
      <c r="S28" s="71"/>
      <c r="T28" s="72"/>
      <c r="U28" s="72"/>
      <c r="V28" s="72"/>
      <c r="W28" s="72"/>
      <c r="X28" s="73"/>
    </row>
    <row r="29" ht="12.75" customHeight="1" spans="1:24">
      <c r="A29" s="17" t="s">
        <v>123</v>
      </c>
      <c r="B29" s="18"/>
      <c r="C29" s="19"/>
      <c r="D29" s="20" t="s">
        <v>124</v>
      </c>
      <c r="E29" s="35"/>
      <c r="F29" s="35"/>
      <c r="G29" s="35"/>
      <c r="H29" s="35"/>
      <c r="I29" s="35"/>
      <c r="J29" s="35"/>
      <c r="K29" s="35"/>
      <c r="L29" s="35"/>
      <c r="M29" s="35"/>
      <c r="N29" s="35"/>
      <c r="O29" s="35"/>
      <c r="P29" s="35"/>
      <c r="Q29" s="35"/>
      <c r="R29" s="37" t="s">
        <v>60</v>
      </c>
      <c r="S29" s="71"/>
      <c r="T29" s="72"/>
      <c r="U29" s="72"/>
      <c r="V29" s="72"/>
      <c r="W29" s="72"/>
      <c r="X29" s="73"/>
    </row>
    <row r="30" ht="12.75" customHeight="1" spans="1:24">
      <c r="A30" s="23" t="s">
        <v>125</v>
      </c>
      <c r="B30" s="24"/>
      <c r="C30" s="25"/>
      <c r="D30" s="26" t="s">
        <v>126</v>
      </c>
      <c r="E30" s="21"/>
      <c r="F30" s="36" t="s">
        <v>60</v>
      </c>
      <c r="G30" s="36" t="s">
        <v>60</v>
      </c>
      <c r="H30" s="36" t="s">
        <v>60</v>
      </c>
      <c r="I30" s="36" t="s">
        <v>60</v>
      </c>
      <c r="J30" s="36" t="s">
        <v>60</v>
      </c>
      <c r="K30" s="36" t="s">
        <v>60</v>
      </c>
      <c r="L30" s="36" t="s">
        <v>60</v>
      </c>
      <c r="M30" s="36" t="s">
        <v>60</v>
      </c>
      <c r="N30" s="36" t="s">
        <v>60</v>
      </c>
      <c r="O30" s="36" t="s">
        <v>60</v>
      </c>
      <c r="P30" s="36" t="s">
        <v>60</v>
      </c>
      <c r="Q30" s="36" t="s">
        <v>60</v>
      </c>
      <c r="R30" s="36" t="s">
        <v>60</v>
      </c>
      <c r="S30" s="71"/>
      <c r="T30" s="72"/>
      <c r="U30" s="72"/>
      <c r="V30" s="72"/>
      <c r="W30" s="72"/>
      <c r="X30" s="73"/>
    </row>
    <row r="31" ht="28" customHeight="1" spans="1:24">
      <c r="A31" s="17" t="s">
        <v>127</v>
      </c>
      <c r="B31" s="18"/>
      <c r="C31" s="19"/>
      <c r="D31" s="20" t="s">
        <v>128</v>
      </c>
      <c r="E31" s="37" t="s">
        <v>60</v>
      </c>
      <c r="F31" s="21"/>
      <c r="G31" s="21"/>
      <c r="H31" s="38"/>
      <c r="I31" s="38"/>
      <c r="J31" s="38"/>
      <c r="K31" s="38"/>
      <c r="L31" s="38"/>
      <c r="M31" s="38"/>
      <c r="N31" s="38"/>
      <c r="O31" s="38"/>
      <c r="P31" s="38"/>
      <c r="Q31" s="38"/>
      <c r="R31" s="70">
        <v>0</v>
      </c>
      <c r="S31" s="71"/>
      <c r="T31" s="72"/>
      <c r="U31" s="72"/>
      <c r="V31" s="72"/>
      <c r="W31" s="72"/>
      <c r="X31" s="73"/>
    </row>
    <row r="32" spans="1:24">
      <c r="A32" s="17" t="s">
        <v>129</v>
      </c>
      <c r="B32" s="18"/>
      <c r="C32" s="19"/>
      <c r="D32" s="20" t="s">
        <v>128</v>
      </c>
      <c r="E32" s="37"/>
      <c r="F32" s="39"/>
      <c r="G32" s="39"/>
      <c r="H32" s="39"/>
      <c r="I32" s="39"/>
      <c r="J32" s="39"/>
      <c r="K32" s="39"/>
      <c r="L32" s="39"/>
      <c r="M32" s="39"/>
      <c r="N32" s="39"/>
      <c r="O32" s="39"/>
      <c r="P32" s="39"/>
      <c r="Q32" s="39"/>
      <c r="R32" s="37" t="s">
        <v>60</v>
      </c>
      <c r="S32" s="71"/>
      <c r="T32" s="72"/>
      <c r="U32" s="72"/>
      <c r="V32" s="72"/>
      <c r="W32" s="72"/>
      <c r="X32" s="73"/>
    </row>
    <row r="33" ht="12.75" customHeight="1" spans="1:24">
      <c r="A33" s="17" t="s">
        <v>130</v>
      </c>
      <c r="B33" s="18"/>
      <c r="C33" s="19"/>
      <c r="D33" s="20" t="s">
        <v>131</v>
      </c>
      <c r="E33" s="37" t="s">
        <v>60</v>
      </c>
      <c r="F33" s="21"/>
      <c r="G33" s="21"/>
      <c r="H33" s="21"/>
      <c r="I33" s="21"/>
      <c r="J33" s="21"/>
      <c r="K33" s="21"/>
      <c r="L33" s="21"/>
      <c r="M33" s="21"/>
      <c r="N33" s="21"/>
      <c r="O33" s="21"/>
      <c r="P33" s="21"/>
      <c r="Q33" s="21"/>
      <c r="R33" s="37" t="s">
        <v>60</v>
      </c>
      <c r="S33" s="71"/>
      <c r="T33" s="72"/>
      <c r="U33" s="72"/>
      <c r="V33" s="72"/>
      <c r="W33" s="72"/>
      <c r="X33" s="73"/>
    </row>
    <row r="34" ht="12.75" customHeight="1" spans="1:24">
      <c r="A34" s="23" t="s">
        <v>132</v>
      </c>
      <c r="B34" s="24"/>
      <c r="C34" s="25"/>
      <c r="D34" s="26"/>
      <c r="E34" s="36" t="s">
        <v>60</v>
      </c>
      <c r="F34" s="40">
        <f>IF(OR('OIC input for DSR cal'!C6=0,F31=0,F33=0),0,F31/F33)</f>
        <v>0</v>
      </c>
      <c r="G34" s="40">
        <f>IF(OR('OIC input for DSR cal'!C6=0,G31=0,G33=0),0,G31/G33)</f>
        <v>0</v>
      </c>
      <c r="H34" s="40">
        <f>IF(OR('OIC input for DSR cal'!C6=0,H31=0,H33=0),0,H31/H33)</f>
        <v>0</v>
      </c>
      <c r="I34" s="40">
        <f>IF(OR('OIC input for DSR cal'!C6=0,I31=0,I33=0),0,I31/I33)</f>
        <v>0</v>
      </c>
      <c r="J34" s="40">
        <f>IF(OR('OIC input for DSR cal'!C6=0,J31=0,J33=0),0,J31/J33)</f>
        <v>0</v>
      </c>
      <c r="K34" s="40">
        <f>IF(OR('OIC input for DSR cal'!C6=0,K31=0,K33=0),0,K31/K33)</f>
        <v>0</v>
      </c>
      <c r="L34" s="40">
        <f>IF(OR('OIC input for DSR cal'!C6=0,L31=0,L33=0),0,L31/L33)</f>
        <v>0</v>
      </c>
      <c r="M34" s="40">
        <f>IF(OR('OIC input for DSR cal'!C6=0,M31=0,M33=0),0,M31/M33)</f>
        <v>0</v>
      </c>
      <c r="N34" s="40">
        <f>IF(OR('OIC input for DSR cal'!C6=0,N31=0,N33=0),0,N31/N33)</f>
        <v>0</v>
      </c>
      <c r="O34" s="40">
        <f>IF(OR('OIC input for DSR cal'!C6=0,O31=0,O33=0),0,O31/O33)</f>
        <v>0</v>
      </c>
      <c r="P34" s="40">
        <f>IF(OR('OIC input for DSR cal'!C6=0,P31=0,P33=0),0,P31/P33)</f>
        <v>0</v>
      </c>
      <c r="Q34" s="40">
        <f>IF(OR('OIC input for DSR cal'!C6=0,Q31=0,Q33=0),0,Q31/Q33)</f>
        <v>0</v>
      </c>
      <c r="R34" s="36" t="s">
        <v>60</v>
      </c>
      <c r="S34" s="71"/>
      <c r="T34" s="72"/>
      <c r="U34" s="72"/>
      <c r="V34" s="72"/>
      <c r="W34" s="72"/>
      <c r="X34" s="73"/>
    </row>
    <row r="35" ht="12.75" customHeight="1" spans="1:24">
      <c r="A35" s="23" t="s">
        <v>133</v>
      </c>
      <c r="B35" s="24"/>
      <c r="C35" s="25"/>
      <c r="D35" s="26"/>
      <c r="E35" s="36" t="s">
        <v>60</v>
      </c>
      <c r="F35" s="40">
        <f>IF(OR('OIC input for DSR cal'!$C$6=0,F31=0,F33=0),0,F31*(1-$R$31)/F33)</f>
        <v>0</v>
      </c>
      <c r="G35" s="40">
        <f>IF(OR('OIC input for DSR cal'!$C$6=0,G31=0,G33=0),0,G31*(1-$R$31)/G33)</f>
        <v>0</v>
      </c>
      <c r="H35" s="40">
        <f>IF(OR('OIC input for DSR cal'!$C$6=0,H31=0,H33=0),0,H31*(1-$R$31)/H33)</f>
        <v>0</v>
      </c>
      <c r="I35" s="40">
        <f>IF(OR('OIC input for DSR cal'!$C$6=0,I31=0,I33=0),0,I31*(1-$R$31)/I33)</f>
        <v>0</v>
      </c>
      <c r="J35" s="40">
        <f>IF(OR('OIC input for DSR cal'!$C$6=0,J31=0,J33=0),0,J31*(1-$R$31)/J33)</f>
        <v>0</v>
      </c>
      <c r="K35" s="40">
        <f>IF(OR('OIC input for DSR cal'!$C$6=0,K31=0,K33=0),0,K31*(1-$R$31)/K33)</f>
        <v>0</v>
      </c>
      <c r="L35" s="40">
        <f>IF(OR('OIC input for DSR cal'!$C$6=0,L31=0,L33=0),0,L31*(1-$R$31)/L33)</f>
        <v>0</v>
      </c>
      <c r="M35" s="40">
        <f>IF(OR('OIC input for DSR cal'!$C$6=0,M31=0,M33=0),0,M31*(1-$R$31)/M33)</f>
        <v>0</v>
      </c>
      <c r="N35" s="40">
        <f>IF(OR('OIC input for DSR cal'!$C$6=0,N31=0,N33=0),0,N31*(1-$R$31)/N33)</f>
        <v>0</v>
      </c>
      <c r="O35" s="40">
        <f>IF(OR('OIC input for DSR cal'!$C$6=0,O31=0,O33=0),0,O31*(1-$R$31)/O33)</f>
        <v>0</v>
      </c>
      <c r="P35" s="40">
        <f>IF(OR('OIC input for DSR cal'!$C$6=0,P31=0,P33=0),0,P31*(1-$R$31)/P33)</f>
        <v>0</v>
      </c>
      <c r="Q35" s="40">
        <f>IF(OR('OIC input for DSR cal'!$C$6=0,Q31=0,Q33=0),0,Q31*(1-$R$31)/Q33)</f>
        <v>0</v>
      </c>
      <c r="R35" s="36" t="s">
        <v>60</v>
      </c>
      <c r="S35" s="71"/>
      <c r="T35" s="72"/>
      <c r="U35" s="72"/>
      <c r="V35" s="72"/>
      <c r="W35" s="72"/>
      <c r="X35" s="73"/>
    </row>
    <row r="36" ht="12.75" customHeight="1" spans="1:24">
      <c r="A36" s="23" t="s">
        <v>134</v>
      </c>
      <c r="B36" s="24"/>
      <c r="C36" s="25"/>
      <c r="D36" s="26"/>
      <c r="E36" s="36" t="s">
        <v>60</v>
      </c>
      <c r="F36" s="40">
        <f>IF(OR('OIC input for DSR cal'!C6=1,F31=0,F33=0),0,F31/F33)</f>
        <v>0</v>
      </c>
      <c r="G36" s="40">
        <f>IF(OR('OIC input for DSR cal'!C6=1,G31=0,G33=0),0,G31/G33)</f>
        <v>0</v>
      </c>
      <c r="H36" s="40">
        <f>IF(OR('OIC input for DSR cal'!C6=1,H31=0,H33=0),0,H31/H33)</f>
        <v>0</v>
      </c>
      <c r="I36" s="40">
        <f>IF(OR('OIC input for DSR cal'!C6=1,I31=0,I33=0),0,I31/I33)</f>
        <v>0</v>
      </c>
      <c r="J36" s="40">
        <f>IF(OR('OIC input for DSR cal'!C6=1,J31=0,J33=0),0,J31/J33)</f>
        <v>0</v>
      </c>
      <c r="K36" s="40">
        <f>IF(OR('OIC input for DSR cal'!C6=1,K31=0,K33=0),0,K31/K33)</f>
        <v>0</v>
      </c>
      <c r="L36" s="40">
        <f>IF(OR('OIC input for DSR cal'!C6=1,L31=0,L33=0),0,L31/L33)</f>
        <v>0</v>
      </c>
      <c r="M36" s="40">
        <f>IF(OR('OIC input for DSR cal'!C6=1,M31=0,M33=0),0,M31/M33)</f>
        <v>0</v>
      </c>
      <c r="N36" s="40">
        <f>IF(OR('OIC input for DSR cal'!C6=1,N31=0,N33=0),0,N31/N33)</f>
        <v>0</v>
      </c>
      <c r="O36" s="40">
        <f>IF(OR('OIC input for DSR cal'!C6=1,O31=0,O33=0),0,O31/O33)</f>
        <v>0</v>
      </c>
      <c r="P36" s="40">
        <f>IF(OR('OIC input for DSR cal'!C6=1,P31=0,P33=0),0,P31/P33)</f>
        <v>0</v>
      </c>
      <c r="Q36" s="40">
        <f>IF(OR('OIC input for DSR cal'!C6=1,Q31=0,Q33=0),0,Q31/Q33)</f>
        <v>0</v>
      </c>
      <c r="R36" s="36" t="s">
        <v>60</v>
      </c>
      <c r="S36" s="71"/>
      <c r="T36" s="72"/>
      <c r="U36" s="72"/>
      <c r="V36" s="72"/>
      <c r="W36" s="72"/>
      <c r="X36" s="73"/>
    </row>
    <row r="37" ht="12.75" customHeight="1" spans="1:24">
      <c r="A37" s="23" t="s">
        <v>135</v>
      </c>
      <c r="B37" s="24"/>
      <c r="C37" s="25"/>
      <c r="D37" s="26"/>
      <c r="E37" s="36" t="s">
        <v>60</v>
      </c>
      <c r="F37" s="40">
        <f>IF(OR('OIC input for DSR cal'!$C$6=1,F31=0,F33=0),0,F31*(1-$R$31)/F33)</f>
        <v>0</v>
      </c>
      <c r="G37" s="40">
        <f>IF(OR('OIC input for DSR cal'!$C$6=1,G31=0,G33=0),0,G31*(1-$R$31)/G33)</f>
        <v>0</v>
      </c>
      <c r="H37" s="40">
        <f>IF(OR('OIC input for DSR cal'!$C$6=1,H31=0,H33=0),0,H31*(1-$R$31)/H33)</f>
        <v>0</v>
      </c>
      <c r="I37" s="40">
        <f>IF(OR('OIC input for DSR cal'!$C$6=1,I31=0,I33=0),0,I31*(1-$R$31)/I33)</f>
        <v>0</v>
      </c>
      <c r="J37" s="40">
        <f>IF(OR('OIC input for DSR cal'!$C$6=1,J31=0,J33=0),0,J31*(1-$R$31)/J33)</f>
        <v>0</v>
      </c>
      <c r="K37" s="40">
        <f>IF(OR('OIC input for DSR cal'!$C$6=1,K31=0,K33=0),0,K31*(1-$R$31)/K33)</f>
        <v>0</v>
      </c>
      <c r="L37" s="40">
        <f>IF(OR('OIC input for DSR cal'!$C$6=1,L31=0,L33=0),0,L31*(1-$R$31)/L33)</f>
        <v>0</v>
      </c>
      <c r="M37" s="40">
        <f>IF(OR('OIC input for DSR cal'!$C$6=1,M31=0,M33=0),0,M31*(1-$R$31)/M33)</f>
        <v>0</v>
      </c>
      <c r="N37" s="40">
        <f>IF(OR('OIC input for DSR cal'!$C$6=1,N31=0,N33=0),0,N31*(1-$R$31)/N33)</f>
        <v>0</v>
      </c>
      <c r="O37" s="40">
        <f>IF(OR('OIC input for DSR cal'!$C$6=1,O31=0,O33=0),0,O31*(1-$R$31)/O33)</f>
        <v>0</v>
      </c>
      <c r="P37" s="40">
        <f>IF(OR('OIC input for DSR cal'!$C$6=1,P31=0,P33=0),0,P31*(1-$R$31)/P33)</f>
        <v>0</v>
      </c>
      <c r="Q37" s="40">
        <f>IF(OR('OIC input for DSR cal'!$C$6=1,Q31=0,Q33=0),0,Q31*(1-$R$31)/Q33)</f>
        <v>0</v>
      </c>
      <c r="R37" s="36" t="s">
        <v>60</v>
      </c>
      <c r="S37" s="71"/>
      <c r="T37" s="72"/>
      <c r="U37" s="72"/>
      <c r="V37" s="72"/>
      <c r="W37" s="72"/>
      <c r="X37" s="73"/>
    </row>
    <row r="38" ht="28" customHeight="1" spans="1:24">
      <c r="A38" s="17" t="s">
        <v>136</v>
      </c>
      <c r="B38" s="18"/>
      <c r="C38" s="19"/>
      <c r="D38" s="20" t="s">
        <v>137</v>
      </c>
      <c r="E38" s="21"/>
      <c r="F38" s="21"/>
      <c r="G38" s="21"/>
      <c r="H38" s="21"/>
      <c r="I38" s="21"/>
      <c r="J38" s="21"/>
      <c r="K38" s="21"/>
      <c r="L38" s="21"/>
      <c r="M38" s="21"/>
      <c r="N38" s="21"/>
      <c r="O38" s="21"/>
      <c r="P38" s="21"/>
      <c r="Q38" s="21"/>
      <c r="R38" s="70">
        <v>0</v>
      </c>
      <c r="S38" s="71"/>
      <c r="T38" s="72"/>
      <c r="U38" s="72"/>
      <c r="V38" s="72"/>
      <c r="W38" s="72"/>
      <c r="X38" s="73"/>
    </row>
    <row r="39" ht="28" customHeight="1" spans="1:24">
      <c r="A39" s="17" t="s">
        <v>138</v>
      </c>
      <c r="B39" s="18"/>
      <c r="C39" s="19"/>
      <c r="D39" s="20" t="s">
        <v>139</v>
      </c>
      <c r="E39" s="21"/>
      <c r="F39" s="21"/>
      <c r="G39" s="21"/>
      <c r="H39" s="21"/>
      <c r="I39" s="21"/>
      <c r="J39" s="21"/>
      <c r="K39" s="21"/>
      <c r="L39" s="21"/>
      <c r="M39" s="21"/>
      <c r="N39" s="21"/>
      <c r="O39" s="21"/>
      <c r="P39" s="21"/>
      <c r="Q39" s="21"/>
      <c r="R39" s="37" t="s">
        <v>60</v>
      </c>
      <c r="S39" s="71"/>
      <c r="T39" s="72"/>
      <c r="U39" s="72"/>
      <c r="V39" s="72"/>
      <c r="W39" s="72"/>
      <c r="X39" s="73"/>
    </row>
    <row r="40" ht="12.75" customHeight="1" spans="1:24">
      <c r="A40" s="17" t="s">
        <v>140</v>
      </c>
      <c r="B40" s="18"/>
      <c r="C40" s="19"/>
      <c r="D40" s="20" t="s">
        <v>141</v>
      </c>
      <c r="E40" s="21"/>
      <c r="F40" s="21"/>
      <c r="G40" s="21"/>
      <c r="H40" s="21"/>
      <c r="I40" s="21"/>
      <c r="J40" s="21"/>
      <c r="K40" s="21"/>
      <c r="L40" s="21"/>
      <c r="M40" s="21"/>
      <c r="N40" s="21"/>
      <c r="O40" s="21"/>
      <c r="P40" s="21"/>
      <c r="Q40" s="21"/>
      <c r="R40" s="37" t="s">
        <v>60</v>
      </c>
      <c r="S40" s="71"/>
      <c r="T40" s="72"/>
      <c r="U40" s="72"/>
      <c r="V40" s="72"/>
      <c r="W40" s="72"/>
      <c r="X40" s="73"/>
    </row>
    <row r="41" ht="12.75" customHeight="1" spans="1:24">
      <c r="A41" s="17" t="s">
        <v>142</v>
      </c>
      <c r="B41" s="18"/>
      <c r="C41" s="19"/>
      <c r="D41" s="20" t="s">
        <v>143</v>
      </c>
      <c r="E41" s="21"/>
      <c r="F41" s="21"/>
      <c r="G41" s="21"/>
      <c r="H41" s="21"/>
      <c r="I41" s="21"/>
      <c r="J41" s="21"/>
      <c r="K41" s="21"/>
      <c r="L41" s="21"/>
      <c r="M41" s="21"/>
      <c r="N41" s="21"/>
      <c r="O41" s="21"/>
      <c r="P41" s="21"/>
      <c r="Q41" s="21"/>
      <c r="R41" s="37" t="s">
        <v>60</v>
      </c>
      <c r="S41" s="71"/>
      <c r="T41" s="72"/>
      <c r="U41" s="72"/>
      <c r="V41" s="72"/>
      <c r="W41" s="72"/>
      <c r="X41" s="73"/>
    </row>
    <row r="42" ht="12.75" customHeight="1" spans="1:24">
      <c r="A42" s="17" t="s">
        <v>144</v>
      </c>
      <c r="B42" s="18"/>
      <c r="C42" s="19"/>
      <c r="D42" s="20" t="s">
        <v>145</v>
      </c>
      <c r="E42" s="21"/>
      <c r="F42" s="21"/>
      <c r="G42" s="21"/>
      <c r="H42" s="21"/>
      <c r="I42" s="21"/>
      <c r="J42" s="21"/>
      <c r="K42" s="21"/>
      <c r="L42" s="21"/>
      <c r="M42" s="21"/>
      <c r="N42" s="21"/>
      <c r="O42" s="21"/>
      <c r="P42" s="21"/>
      <c r="Q42" s="21"/>
      <c r="R42" s="37" t="s">
        <v>60</v>
      </c>
      <c r="S42" s="71"/>
      <c r="T42" s="72"/>
      <c r="U42" s="72"/>
      <c r="V42" s="72"/>
      <c r="W42" s="72"/>
      <c r="X42" s="73"/>
    </row>
    <row r="43" ht="12.75" customHeight="1" spans="1:24">
      <c r="A43" s="17" t="s">
        <v>146</v>
      </c>
      <c r="B43" s="18"/>
      <c r="C43" s="19"/>
      <c r="D43" s="20" t="s">
        <v>147</v>
      </c>
      <c r="E43" s="21"/>
      <c r="F43" s="21"/>
      <c r="G43" s="21"/>
      <c r="H43" s="21"/>
      <c r="I43" s="21"/>
      <c r="J43" s="21"/>
      <c r="K43" s="21"/>
      <c r="L43" s="21"/>
      <c r="M43" s="21"/>
      <c r="N43" s="21"/>
      <c r="O43" s="21"/>
      <c r="P43" s="21"/>
      <c r="Q43" s="21"/>
      <c r="R43" s="37" t="s">
        <v>60</v>
      </c>
      <c r="S43" s="71"/>
      <c r="T43" s="72"/>
      <c r="U43" s="72"/>
      <c r="V43" s="72"/>
      <c r="W43" s="72"/>
      <c r="X43" s="73"/>
    </row>
    <row r="44" ht="12.75" customHeight="1" spans="1:24">
      <c r="A44" s="41" t="s">
        <v>148</v>
      </c>
      <c r="B44" s="42"/>
      <c r="C44" s="43"/>
      <c r="D44" s="20" t="s">
        <v>149</v>
      </c>
      <c r="E44" s="21"/>
      <c r="F44" s="21"/>
      <c r="G44" s="21"/>
      <c r="H44" s="21"/>
      <c r="I44" s="21"/>
      <c r="J44" s="21"/>
      <c r="K44" s="21"/>
      <c r="L44" s="21"/>
      <c r="M44" s="21"/>
      <c r="N44" s="21"/>
      <c r="O44" s="21"/>
      <c r="P44" s="21"/>
      <c r="Q44" s="21"/>
      <c r="R44" s="37" t="s">
        <v>60</v>
      </c>
      <c r="S44" s="71"/>
      <c r="T44" s="72"/>
      <c r="U44" s="72"/>
      <c r="V44" s="72"/>
      <c r="W44" s="72"/>
      <c r="X44" s="73"/>
    </row>
    <row r="45" ht="12.75" customHeight="1" spans="1:24">
      <c r="A45" s="17" t="s">
        <v>150</v>
      </c>
      <c r="B45" s="18"/>
      <c r="C45" s="19"/>
      <c r="D45" s="20" t="s">
        <v>151</v>
      </c>
      <c r="E45" s="21"/>
      <c r="F45" s="21"/>
      <c r="G45" s="21"/>
      <c r="H45" s="21"/>
      <c r="I45" s="21"/>
      <c r="J45" s="21"/>
      <c r="K45" s="21"/>
      <c r="L45" s="21"/>
      <c r="M45" s="21"/>
      <c r="N45" s="21"/>
      <c r="O45" s="21"/>
      <c r="P45" s="21"/>
      <c r="Q45" s="21"/>
      <c r="R45" s="37" t="s">
        <v>60</v>
      </c>
      <c r="S45" s="71"/>
      <c r="T45" s="72"/>
      <c r="U45" s="72"/>
      <c r="V45" s="72"/>
      <c r="W45" s="72"/>
      <c r="X45" s="73"/>
    </row>
    <row r="46" ht="12.75" customHeight="1" spans="1:24">
      <c r="A46" s="17" t="s">
        <v>152</v>
      </c>
      <c r="B46" s="18"/>
      <c r="C46" s="19"/>
      <c r="D46" s="20" t="s">
        <v>153</v>
      </c>
      <c r="E46" s="37" t="s">
        <v>60</v>
      </c>
      <c r="F46" s="21"/>
      <c r="G46" s="21"/>
      <c r="H46" s="21"/>
      <c r="I46" s="21"/>
      <c r="J46" s="21"/>
      <c r="K46" s="21"/>
      <c r="L46" s="21"/>
      <c r="M46" s="21"/>
      <c r="N46" s="21"/>
      <c r="O46" s="21"/>
      <c r="P46" s="21"/>
      <c r="Q46" s="21"/>
      <c r="R46" s="37" t="s">
        <v>60</v>
      </c>
      <c r="S46" s="71"/>
      <c r="T46" s="72"/>
      <c r="U46" s="72"/>
      <c r="V46" s="72"/>
      <c r="W46" s="72"/>
      <c r="X46" s="73"/>
    </row>
    <row r="47" ht="12.75" customHeight="1" spans="1:24">
      <c r="A47" s="17" t="s">
        <v>154</v>
      </c>
      <c r="B47" s="18"/>
      <c r="C47" s="19"/>
      <c r="D47" s="20" t="s">
        <v>155</v>
      </c>
      <c r="E47" s="44">
        <f>'OIC input for DSR cal'!I37</f>
        <v>0</v>
      </c>
      <c r="F47" s="21"/>
      <c r="G47" s="21"/>
      <c r="H47" s="21"/>
      <c r="I47" s="21"/>
      <c r="J47" s="21"/>
      <c r="K47" s="21"/>
      <c r="L47" s="21"/>
      <c r="M47" s="21"/>
      <c r="N47" s="21"/>
      <c r="O47" s="21"/>
      <c r="P47" s="21"/>
      <c r="Q47" s="21"/>
      <c r="R47" s="37" t="s">
        <v>60</v>
      </c>
      <c r="S47" s="71"/>
      <c r="T47" s="72"/>
      <c r="U47" s="72"/>
      <c r="V47" s="72"/>
      <c r="W47" s="72"/>
      <c r="X47" s="73"/>
    </row>
    <row r="48" ht="12.75" customHeight="1" spans="1:24">
      <c r="A48" s="17" t="s">
        <v>156</v>
      </c>
      <c r="B48" s="18"/>
      <c r="C48" s="19"/>
      <c r="D48" s="20" t="s">
        <v>157</v>
      </c>
      <c r="E48" s="44"/>
      <c r="F48" s="21"/>
      <c r="G48" s="21"/>
      <c r="H48" s="21"/>
      <c r="I48" s="21"/>
      <c r="J48" s="21"/>
      <c r="K48" s="21"/>
      <c r="L48" s="21"/>
      <c r="M48" s="21"/>
      <c r="N48" s="21"/>
      <c r="O48" s="21"/>
      <c r="P48" s="21"/>
      <c r="Q48" s="21"/>
      <c r="R48" s="37"/>
      <c r="S48" s="71"/>
      <c r="T48" s="72"/>
      <c r="U48" s="72"/>
      <c r="V48" s="72"/>
      <c r="W48" s="72"/>
      <c r="X48" s="73"/>
    </row>
    <row r="49" ht="12.75" customHeight="1" spans="1:24">
      <c r="A49" s="23" t="s">
        <v>158</v>
      </c>
      <c r="B49" s="24"/>
      <c r="C49" s="25"/>
      <c r="D49" s="26" t="s">
        <v>159</v>
      </c>
      <c r="E49" s="21"/>
      <c r="F49" s="36" t="s">
        <v>60</v>
      </c>
      <c r="G49" s="36" t="s">
        <v>60</v>
      </c>
      <c r="H49" s="36" t="s">
        <v>60</v>
      </c>
      <c r="I49" s="36" t="s">
        <v>60</v>
      </c>
      <c r="J49" s="36" t="s">
        <v>60</v>
      </c>
      <c r="K49" s="36" t="s">
        <v>60</v>
      </c>
      <c r="L49" s="36" t="s">
        <v>60</v>
      </c>
      <c r="M49" s="36" t="s">
        <v>60</v>
      </c>
      <c r="N49" s="36" t="s">
        <v>60</v>
      </c>
      <c r="O49" s="36" t="s">
        <v>60</v>
      </c>
      <c r="P49" s="36" t="s">
        <v>60</v>
      </c>
      <c r="Q49" s="36" t="s">
        <v>60</v>
      </c>
      <c r="R49" s="36" t="s">
        <v>60</v>
      </c>
      <c r="S49" s="71"/>
      <c r="T49" s="72"/>
      <c r="U49" s="72"/>
      <c r="V49" s="72"/>
      <c r="W49" s="72"/>
      <c r="X49" s="73"/>
    </row>
    <row r="50" ht="28" customHeight="1" spans="1:24">
      <c r="A50" s="17" t="s">
        <v>160</v>
      </c>
      <c r="B50" s="18"/>
      <c r="C50" s="19"/>
      <c r="D50" s="20" t="s">
        <v>161</v>
      </c>
      <c r="E50" s="44">
        <f>+'OIC input for DSR cal'!I33+'OIC input for DSR cal'!I40</f>
        <v>0</v>
      </c>
      <c r="F50" s="21"/>
      <c r="G50" s="21"/>
      <c r="H50" s="21"/>
      <c r="I50" s="21"/>
      <c r="J50" s="21"/>
      <c r="K50" s="21"/>
      <c r="L50" s="21"/>
      <c r="M50" s="21"/>
      <c r="N50" s="21"/>
      <c r="O50" s="21"/>
      <c r="P50" s="21"/>
      <c r="Q50" s="21"/>
      <c r="R50" s="37" t="s">
        <v>60</v>
      </c>
      <c r="S50" s="71"/>
      <c r="T50" s="72"/>
      <c r="U50" s="72"/>
      <c r="V50" s="72"/>
      <c r="W50" s="72"/>
      <c r="X50" s="73"/>
    </row>
    <row r="51" ht="28" customHeight="1" spans="1:24">
      <c r="A51" s="17" t="s">
        <v>162</v>
      </c>
      <c r="B51" s="18"/>
      <c r="C51" s="19"/>
      <c r="D51" s="20" t="s">
        <v>163</v>
      </c>
      <c r="E51" s="44"/>
      <c r="F51" s="21">
        <f>+F31*F32</f>
        <v>0</v>
      </c>
      <c r="G51" s="21">
        <f t="shared" ref="G51:Q51" si="0">+G31*G32</f>
        <v>0</v>
      </c>
      <c r="H51" s="21">
        <f t="shared" si="0"/>
        <v>0</v>
      </c>
      <c r="I51" s="21">
        <f t="shared" si="0"/>
        <v>0</v>
      </c>
      <c r="J51" s="21">
        <f t="shared" si="0"/>
        <v>0</v>
      </c>
      <c r="K51" s="21">
        <f t="shared" si="0"/>
        <v>0</v>
      </c>
      <c r="L51" s="21">
        <f t="shared" si="0"/>
        <v>0</v>
      </c>
      <c r="M51" s="21">
        <f t="shared" si="0"/>
        <v>0</v>
      </c>
      <c r="N51" s="21">
        <f t="shared" si="0"/>
        <v>0</v>
      </c>
      <c r="O51" s="21">
        <f t="shared" si="0"/>
        <v>0</v>
      </c>
      <c r="P51" s="21">
        <f t="shared" si="0"/>
        <v>0</v>
      </c>
      <c r="Q51" s="21">
        <f t="shared" si="0"/>
        <v>0</v>
      </c>
      <c r="R51" s="37" t="s">
        <v>60</v>
      </c>
      <c r="S51" s="74"/>
      <c r="T51" s="75"/>
      <c r="U51" s="75"/>
      <c r="V51" s="75"/>
      <c r="W51" s="75"/>
      <c r="X51" s="76"/>
    </row>
    <row r="52" ht="28" customHeight="1" spans="1:24">
      <c r="A52" s="17" t="s">
        <v>164</v>
      </c>
      <c r="B52" s="18"/>
      <c r="C52" s="19"/>
      <c r="D52" s="20" t="s">
        <v>165</v>
      </c>
      <c r="E52" s="44"/>
      <c r="F52" s="21"/>
      <c r="G52" s="21"/>
      <c r="H52" s="21"/>
      <c r="I52" s="21"/>
      <c r="J52" s="21"/>
      <c r="K52" s="21"/>
      <c r="L52" s="21"/>
      <c r="M52" s="21"/>
      <c r="N52" s="21"/>
      <c r="O52" s="21"/>
      <c r="P52" s="21"/>
      <c r="Q52" s="21"/>
      <c r="R52" s="37" t="s">
        <v>60</v>
      </c>
      <c r="S52" s="74"/>
      <c r="T52" s="75"/>
      <c r="U52" s="75"/>
      <c r="V52" s="75"/>
      <c r="W52" s="75"/>
      <c r="X52" s="76"/>
    </row>
    <row r="53" ht="28" customHeight="1" spans="1:24">
      <c r="A53" s="17" t="s">
        <v>166</v>
      </c>
      <c r="B53" s="18"/>
      <c r="C53" s="19"/>
      <c r="D53" s="20" t="s">
        <v>167</v>
      </c>
      <c r="E53" s="37" t="s">
        <v>60</v>
      </c>
      <c r="F53" s="21"/>
      <c r="G53" s="21"/>
      <c r="H53" s="21"/>
      <c r="I53" s="21"/>
      <c r="J53" s="21"/>
      <c r="K53" s="21"/>
      <c r="L53" s="21"/>
      <c r="M53" s="21"/>
      <c r="N53" s="21"/>
      <c r="O53" s="21"/>
      <c r="P53" s="21"/>
      <c r="Q53" s="21"/>
      <c r="R53" s="37" t="s">
        <v>60</v>
      </c>
      <c r="S53" s="71"/>
      <c r="T53" s="72"/>
      <c r="U53" s="72"/>
      <c r="V53" s="72"/>
      <c r="W53" s="72"/>
      <c r="X53" s="73"/>
    </row>
    <row r="54" ht="28" customHeight="1" spans="1:24">
      <c r="A54" s="17" t="s">
        <v>168</v>
      </c>
      <c r="B54" s="18"/>
      <c r="C54" s="19"/>
      <c r="D54" s="20" t="s">
        <v>169</v>
      </c>
      <c r="E54" s="37" t="s">
        <v>60</v>
      </c>
      <c r="F54" s="21"/>
      <c r="G54" s="21"/>
      <c r="H54" s="21"/>
      <c r="I54" s="21"/>
      <c r="J54" s="21"/>
      <c r="K54" s="21"/>
      <c r="L54" s="21"/>
      <c r="M54" s="21"/>
      <c r="N54" s="21"/>
      <c r="O54" s="21"/>
      <c r="P54" s="21"/>
      <c r="Q54" s="21"/>
      <c r="R54" s="37" t="s">
        <v>60</v>
      </c>
      <c r="S54" s="71"/>
      <c r="T54" s="72"/>
      <c r="U54" s="72"/>
      <c r="V54" s="72"/>
      <c r="W54" s="72"/>
      <c r="X54" s="73"/>
    </row>
    <row r="55" ht="57.75" customHeight="1" spans="1:24">
      <c r="A55" s="17" t="s">
        <v>170</v>
      </c>
      <c r="B55" s="18"/>
      <c r="C55" s="19"/>
      <c r="D55" s="20" t="s">
        <v>171</v>
      </c>
      <c r="E55" s="45" t="e">
        <f>#REF!</f>
        <v>#REF!</v>
      </c>
      <c r="F55" s="22"/>
      <c r="G55" s="22"/>
      <c r="H55" s="22"/>
      <c r="I55" s="22"/>
      <c r="J55" s="22"/>
      <c r="K55" s="22"/>
      <c r="L55" s="22"/>
      <c r="M55" s="22"/>
      <c r="N55" s="22"/>
      <c r="O55" s="22"/>
      <c r="P55" s="22"/>
      <c r="Q55" s="22"/>
      <c r="R55" s="37" t="s">
        <v>60</v>
      </c>
      <c r="S55" s="71"/>
      <c r="T55" s="72"/>
      <c r="U55" s="72"/>
      <c r="V55" s="72"/>
      <c r="W55" s="72"/>
      <c r="X55" s="73"/>
    </row>
    <row r="56" ht="36" customHeight="1" spans="1:24">
      <c r="A56" s="46"/>
      <c r="B56" s="47"/>
      <c r="C56" s="47"/>
      <c r="D56" s="47"/>
      <c r="S56" s="77"/>
      <c r="T56" s="77"/>
      <c r="U56" s="77"/>
      <c r="V56" s="77"/>
      <c r="W56" s="77"/>
      <c r="X56" s="77"/>
    </row>
    <row r="57" ht="26.25" customHeight="1" spans="1:24">
      <c r="A57" s="48" t="s">
        <v>172</v>
      </c>
      <c r="B57" s="49"/>
      <c r="C57" s="49"/>
      <c r="D57" s="49"/>
      <c r="E57" s="49"/>
      <c r="F57" s="49"/>
      <c r="G57" s="49"/>
      <c r="H57" s="49"/>
      <c r="I57" s="49"/>
      <c r="J57" s="49"/>
      <c r="K57" s="49"/>
      <c r="L57" s="49"/>
      <c r="M57" s="49"/>
      <c r="N57" s="49"/>
      <c r="O57" s="49"/>
      <c r="P57" s="49"/>
      <c r="Q57" s="49"/>
      <c r="R57" s="49"/>
      <c r="S57" s="49"/>
      <c r="T57" s="49"/>
      <c r="U57" s="49"/>
      <c r="V57" s="49"/>
      <c r="W57" s="49"/>
      <c r="X57" s="49"/>
    </row>
    <row r="58" ht="20.25" customHeight="1" spans="1:24">
      <c r="A58" s="50" t="s">
        <v>173</v>
      </c>
      <c r="B58" s="51">
        <f>'OIC input for DSR cal'!C16</f>
        <v>0</v>
      </c>
      <c r="C58" s="51"/>
      <c r="D58" s="52" t="s">
        <v>13</v>
      </c>
      <c r="E58" s="53" t="s">
        <v>80</v>
      </c>
      <c r="F58" s="53" t="s">
        <v>174</v>
      </c>
      <c r="G58" s="53" t="s">
        <v>82</v>
      </c>
      <c r="H58" s="53" t="s">
        <v>175</v>
      </c>
      <c r="I58" s="65" t="s">
        <v>84</v>
      </c>
      <c r="J58" s="65" t="s">
        <v>85</v>
      </c>
      <c r="K58" s="65" t="s">
        <v>86</v>
      </c>
      <c r="L58" s="65" t="s">
        <v>87</v>
      </c>
      <c r="M58" s="65" t="s">
        <v>88</v>
      </c>
      <c r="N58" s="65" t="s">
        <v>89</v>
      </c>
      <c r="O58" s="65" t="s">
        <v>90</v>
      </c>
      <c r="P58" s="65" t="s">
        <v>91</v>
      </c>
      <c r="Q58" s="65" t="s">
        <v>92</v>
      </c>
      <c r="R58" s="23" t="s">
        <v>176</v>
      </c>
      <c r="S58" s="24"/>
      <c r="T58" s="24"/>
      <c r="U58" s="24"/>
      <c r="V58" s="24"/>
      <c r="W58" s="25"/>
      <c r="X58" s="49"/>
    </row>
    <row r="59" spans="1:24">
      <c r="A59" s="54" t="s">
        <v>177</v>
      </c>
      <c r="B59" s="55"/>
      <c r="C59" s="55"/>
      <c r="D59" s="56"/>
      <c r="E59" s="56">
        <v>0</v>
      </c>
      <c r="F59" s="56">
        <f t="shared" ref="F59:Q59" si="1">E67</f>
        <v>0</v>
      </c>
      <c r="G59" s="56">
        <f t="shared" si="1"/>
        <v>0</v>
      </c>
      <c r="H59" s="56">
        <f t="shared" si="1"/>
        <v>0</v>
      </c>
      <c r="I59" s="56">
        <f t="shared" si="1"/>
        <v>0</v>
      </c>
      <c r="J59" s="56">
        <f t="shared" si="1"/>
        <v>0</v>
      </c>
      <c r="K59" s="56">
        <f t="shared" si="1"/>
        <v>0</v>
      </c>
      <c r="L59" s="56">
        <f t="shared" si="1"/>
        <v>0</v>
      </c>
      <c r="M59" s="56">
        <f t="shared" si="1"/>
        <v>0</v>
      </c>
      <c r="N59" s="56">
        <f t="shared" si="1"/>
        <v>0</v>
      </c>
      <c r="O59" s="56">
        <f t="shared" si="1"/>
        <v>0</v>
      </c>
      <c r="P59" s="56">
        <f t="shared" si="1"/>
        <v>0</v>
      </c>
      <c r="Q59" s="56">
        <f t="shared" si="1"/>
        <v>0</v>
      </c>
      <c r="R59" s="71"/>
      <c r="S59" s="72"/>
      <c r="T59" s="72"/>
      <c r="U59" s="72"/>
      <c r="V59" s="72"/>
      <c r="W59" s="73"/>
      <c r="X59" s="49"/>
    </row>
    <row r="60" spans="1:24">
      <c r="A60" s="57" t="s">
        <v>178</v>
      </c>
      <c r="B60" s="58"/>
      <c r="C60" s="58"/>
      <c r="D60" s="26"/>
      <c r="E60" s="59">
        <v>0</v>
      </c>
      <c r="F60" s="60">
        <f>E50+F50</f>
        <v>0</v>
      </c>
      <c r="G60" s="61">
        <f t="shared" ref="F60:Q60" si="2">G50</f>
        <v>0</v>
      </c>
      <c r="H60" s="61">
        <f t="shared" si="2"/>
        <v>0</v>
      </c>
      <c r="I60" s="61">
        <f t="shared" si="2"/>
        <v>0</v>
      </c>
      <c r="J60" s="61">
        <f t="shared" si="2"/>
        <v>0</v>
      </c>
      <c r="K60" s="61">
        <f t="shared" si="2"/>
        <v>0</v>
      </c>
      <c r="L60" s="61">
        <f t="shared" si="2"/>
        <v>0</v>
      </c>
      <c r="M60" s="61">
        <f t="shared" si="2"/>
        <v>0</v>
      </c>
      <c r="N60" s="61">
        <f t="shared" si="2"/>
        <v>0</v>
      </c>
      <c r="O60" s="61">
        <f t="shared" si="2"/>
        <v>0</v>
      </c>
      <c r="P60" s="61">
        <f t="shared" si="2"/>
        <v>0</v>
      </c>
      <c r="Q60" s="61">
        <f t="shared" si="2"/>
        <v>0</v>
      </c>
      <c r="R60" s="71"/>
      <c r="S60" s="72"/>
      <c r="T60" s="72"/>
      <c r="U60" s="72"/>
      <c r="V60" s="72"/>
      <c r="W60" s="73"/>
      <c r="X60" s="49"/>
    </row>
    <row r="61" spans="1:24">
      <c r="A61" s="57" t="str">
        <f>+A51</f>
        <v>New Debt - Capex Financing</v>
      </c>
      <c r="B61" s="58"/>
      <c r="C61" s="58"/>
      <c r="D61" s="26"/>
      <c r="E61" s="59">
        <v>0</v>
      </c>
      <c r="F61" s="60">
        <f>+F51</f>
        <v>0</v>
      </c>
      <c r="G61" s="60">
        <f t="shared" ref="G61:Q61" si="3">+G51</f>
        <v>0</v>
      </c>
      <c r="H61" s="60">
        <f t="shared" si="3"/>
        <v>0</v>
      </c>
      <c r="I61" s="60">
        <f t="shared" si="3"/>
        <v>0</v>
      </c>
      <c r="J61" s="60">
        <f t="shared" si="3"/>
        <v>0</v>
      </c>
      <c r="K61" s="60">
        <f t="shared" si="3"/>
        <v>0</v>
      </c>
      <c r="L61" s="60">
        <f t="shared" si="3"/>
        <v>0</v>
      </c>
      <c r="M61" s="60">
        <f t="shared" si="3"/>
        <v>0</v>
      </c>
      <c r="N61" s="60">
        <f t="shared" si="3"/>
        <v>0</v>
      </c>
      <c r="O61" s="60">
        <f t="shared" si="3"/>
        <v>0</v>
      </c>
      <c r="P61" s="60">
        <f t="shared" si="3"/>
        <v>0</v>
      </c>
      <c r="Q61" s="60">
        <f t="shared" si="3"/>
        <v>0</v>
      </c>
      <c r="R61" s="71"/>
      <c r="S61" s="72"/>
      <c r="T61" s="72"/>
      <c r="U61" s="72"/>
      <c r="V61" s="72"/>
      <c r="W61" s="73"/>
      <c r="X61" s="49"/>
    </row>
    <row r="62" spans="1:24">
      <c r="A62" s="57" t="s">
        <v>179</v>
      </c>
      <c r="B62" s="58"/>
      <c r="C62" s="58"/>
      <c r="D62" s="26"/>
      <c r="E62" s="62">
        <v>0</v>
      </c>
      <c r="F62" s="63">
        <f>E47+F47</f>
        <v>0</v>
      </c>
      <c r="G62" s="63">
        <f>+G47</f>
        <v>0</v>
      </c>
      <c r="H62" s="63">
        <f>+H47</f>
        <v>0</v>
      </c>
      <c r="I62" s="63">
        <f>+I47</f>
        <v>0</v>
      </c>
      <c r="J62" s="63">
        <f t="shared" ref="J62:Q62" si="4">+J47</f>
        <v>0</v>
      </c>
      <c r="K62" s="63">
        <f t="shared" si="4"/>
        <v>0</v>
      </c>
      <c r="L62" s="63">
        <f t="shared" si="4"/>
        <v>0</v>
      </c>
      <c r="M62" s="63">
        <f t="shared" si="4"/>
        <v>0</v>
      </c>
      <c r="N62" s="63">
        <f t="shared" si="4"/>
        <v>0</v>
      </c>
      <c r="O62" s="63">
        <f t="shared" si="4"/>
        <v>0</v>
      </c>
      <c r="P62" s="63">
        <f t="shared" si="4"/>
        <v>0</v>
      </c>
      <c r="Q62" s="63">
        <f t="shared" si="4"/>
        <v>0</v>
      </c>
      <c r="R62" s="71"/>
      <c r="S62" s="72"/>
      <c r="T62" s="72"/>
      <c r="U62" s="72"/>
      <c r="V62" s="72"/>
      <c r="W62" s="73"/>
      <c r="X62" s="49"/>
    </row>
    <row r="63" spans="1:24">
      <c r="A63" s="57" t="s">
        <v>180</v>
      </c>
      <c r="B63" s="58"/>
      <c r="C63" s="58"/>
      <c r="D63" s="26"/>
      <c r="E63" s="62">
        <v>0</v>
      </c>
      <c r="F63" s="63">
        <f>+F48</f>
        <v>0</v>
      </c>
      <c r="G63" s="63">
        <f t="shared" ref="G63:Q63" si="5">+G48</f>
        <v>0</v>
      </c>
      <c r="H63" s="63">
        <f t="shared" si="5"/>
        <v>0</v>
      </c>
      <c r="I63" s="63">
        <f t="shared" si="5"/>
        <v>0</v>
      </c>
      <c r="J63" s="63">
        <f t="shared" si="5"/>
        <v>0</v>
      </c>
      <c r="K63" s="63">
        <f t="shared" si="5"/>
        <v>0</v>
      </c>
      <c r="L63" s="63">
        <f t="shared" si="5"/>
        <v>0</v>
      </c>
      <c r="M63" s="63">
        <f t="shared" si="5"/>
        <v>0</v>
      </c>
      <c r="N63" s="63">
        <f t="shared" si="5"/>
        <v>0</v>
      </c>
      <c r="O63" s="63">
        <f t="shared" si="5"/>
        <v>0</v>
      </c>
      <c r="P63" s="63">
        <f t="shared" si="5"/>
        <v>0</v>
      </c>
      <c r="Q63" s="63">
        <f t="shared" si="5"/>
        <v>0</v>
      </c>
      <c r="R63" s="71"/>
      <c r="S63" s="72"/>
      <c r="T63" s="72"/>
      <c r="U63" s="72"/>
      <c r="V63" s="72"/>
      <c r="W63" s="73"/>
      <c r="X63" s="49"/>
    </row>
    <row r="64" spans="1:24">
      <c r="A64" s="57" t="s">
        <v>181</v>
      </c>
      <c r="B64" s="58"/>
      <c r="C64" s="58"/>
      <c r="D64" s="26"/>
      <c r="E64" s="59">
        <v>0</v>
      </c>
      <c r="F64" s="61">
        <f>F52</f>
        <v>0</v>
      </c>
      <c r="G64" s="61">
        <f t="shared" ref="G64:Q64" si="6">G52</f>
        <v>0</v>
      </c>
      <c r="H64" s="61">
        <f t="shared" si="6"/>
        <v>0</v>
      </c>
      <c r="I64" s="61">
        <f t="shared" si="6"/>
        <v>0</v>
      </c>
      <c r="J64" s="61">
        <f t="shared" si="6"/>
        <v>0</v>
      </c>
      <c r="K64" s="61">
        <f t="shared" si="6"/>
        <v>0</v>
      </c>
      <c r="L64" s="61">
        <f t="shared" si="6"/>
        <v>0</v>
      </c>
      <c r="M64" s="61">
        <f t="shared" si="6"/>
        <v>0</v>
      </c>
      <c r="N64" s="61">
        <f t="shared" si="6"/>
        <v>0</v>
      </c>
      <c r="O64" s="61">
        <f t="shared" si="6"/>
        <v>0</v>
      </c>
      <c r="P64" s="61">
        <f t="shared" si="6"/>
        <v>0</v>
      </c>
      <c r="Q64" s="61">
        <f t="shared" si="6"/>
        <v>0</v>
      </c>
      <c r="R64" s="71"/>
      <c r="S64" s="72"/>
      <c r="T64" s="72"/>
      <c r="U64" s="72"/>
      <c r="V64" s="72"/>
      <c r="W64" s="73"/>
      <c r="X64" s="49"/>
    </row>
    <row r="65" spans="1:24">
      <c r="A65" s="78" t="s">
        <v>182</v>
      </c>
      <c r="B65" s="79"/>
      <c r="C65" s="79"/>
      <c r="D65" s="26"/>
      <c r="E65" s="59">
        <v>0</v>
      </c>
      <c r="F65" s="61">
        <f t="shared" ref="F65:Q65" si="7">F53</f>
        <v>0</v>
      </c>
      <c r="G65" s="61">
        <f t="shared" si="7"/>
        <v>0</v>
      </c>
      <c r="H65" s="61">
        <f t="shared" si="7"/>
        <v>0</v>
      </c>
      <c r="I65" s="61">
        <f t="shared" si="7"/>
        <v>0</v>
      </c>
      <c r="J65" s="61">
        <f t="shared" si="7"/>
        <v>0</v>
      </c>
      <c r="K65" s="61">
        <f t="shared" si="7"/>
        <v>0</v>
      </c>
      <c r="L65" s="61">
        <f t="shared" si="7"/>
        <v>0</v>
      </c>
      <c r="M65" s="61">
        <f t="shared" si="7"/>
        <v>0</v>
      </c>
      <c r="N65" s="61">
        <f t="shared" si="7"/>
        <v>0</v>
      </c>
      <c r="O65" s="61">
        <f t="shared" si="7"/>
        <v>0</v>
      </c>
      <c r="P65" s="61">
        <f t="shared" si="7"/>
        <v>0</v>
      </c>
      <c r="Q65" s="61">
        <f t="shared" si="7"/>
        <v>0</v>
      </c>
      <c r="R65" s="71"/>
      <c r="S65" s="72"/>
      <c r="T65" s="72"/>
      <c r="U65" s="72"/>
      <c r="V65" s="72"/>
      <c r="W65" s="73"/>
      <c r="X65" s="49"/>
    </row>
    <row r="66" spans="1:24">
      <c r="A66" s="78" t="s">
        <v>183</v>
      </c>
      <c r="B66" s="79"/>
      <c r="C66" s="79"/>
      <c r="D66" s="26"/>
      <c r="E66" s="62">
        <v>0</v>
      </c>
      <c r="F66" s="63">
        <f t="shared" ref="F66:Q66" si="8">F54</f>
        <v>0</v>
      </c>
      <c r="G66" s="63">
        <f t="shared" si="8"/>
        <v>0</v>
      </c>
      <c r="H66" s="63">
        <f t="shared" si="8"/>
        <v>0</v>
      </c>
      <c r="I66" s="63">
        <f t="shared" si="8"/>
        <v>0</v>
      </c>
      <c r="J66" s="63">
        <f t="shared" si="8"/>
        <v>0</v>
      </c>
      <c r="K66" s="63">
        <f t="shared" si="8"/>
        <v>0</v>
      </c>
      <c r="L66" s="63">
        <f t="shared" si="8"/>
        <v>0</v>
      </c>
      <c r="M66" s="63">
        <f t="shared" si="8"/>
        <v>0</v>
      </c>
      <c r="N66" s="63">
        <f t="shared" si="8"/>
        <v>0</v>
      </c>
      <c r="O66" s="63">
        <f t="shared" si="8"/>
        <v>0</v>
      </c>
      <c r="P66" s="63">
        <f t="shared" si="8"/>
        <v>0</v>
      </c>
      <c r="Q66" s="63">
        <f t="shared" si="8"/>
        <v>0</v>
      </c>
      <c r="R66" s="71"/>
      <c r="S66" s="72"/>
      <c r="T66" s="72"/>
      <c r="U66" s="72"/>
      <c r="V66" s="72"/>
      <c r="W66" s="73"/>
      <c r="X66" s="49"/>
    </row>
    <row r="67" spans="1:24">
      <c r="A67" s="54" t="s">
        <v>184</v>
      </c>
      <c r="B67" s="55"/>
      <c r="C67" s="55"/>
      <c r="D67" s="56" t="s">
        <v>185</v>
      </c>
      <c r="E67" s="56">
        <f>'OIC input for DSR cal'!I20+'OIC input for DSR cal'!I24+'OIC input for DSR cal'!I28</f>
        <v>0</v>
      </c>
      <c r="F67" s="56">
        <f>F59+F60+F61+F62-F63-F64-F65-F66</f>
        <v>0</v>
      </c>
      <c r="G67" s="56">
        <f t="shared" ref="G67:Q67" si="9">G59+G60+G61+G62-G63-G64-G65-G66</f>
        <v>0</v>
      </c>
      <c r="H67" s="56">
        <f t="shared" si="9"/>
        <v>0</v>
      </c>
      <c r="I67" s="56">
        <f t="shared" si="9"/>
        <v>0</v>
      </c>
      <c r="J67" s="56">
        <f t="shared" si="9"/>
        <v>0</v>
      </c>
      <c r="K67" s="56">
        <f t="shared" si="9"/>
        <v>0</v>
      </c>
      <c r="L67" s="56">
        <f t="shared" si="9"/>
        <v>0</v>
      </c>
      <c r="M67" s="56">
        <f t="shared" si="9"/>
        <v>0</v>
      </c>
      <c r="N67" s="56">
        <f t="shared" si="9"/>
        <v>0</v>
      </c>
      <c r="O67" s="56">
        <f t="shared" si="9"/>
        <v>0</v>
      </c>
      <c r="P67" s="56">
        <f t="shared" si="9"/>
        <v>0</v>
      </c>
      <c r="Q67" s="56">
        <f t="shared" si="9"/>
        <v>0</v>
      </c>
      <c r="R67" s="71"/>
      <c r="S67" s="72"/>
      <c r="T67" s="72"/>
      <c r="U67" s="72"/>
      <c r="V67" s="72"/>
      <c r="W67" s="73"/>
      <c r="X67" s="49"/>
    </row>
    <row r="68" s="2" customFormat="1" spans="1:24">
      <c r="A68" s="80" t="s">
        <v>186</v>
      </c>
      <c r="B68" s="81"/>
      <c r="C68" s="81"/>
      <c r="D68" s="63"/>
      <c r="E68" s="59">
        <v>0</v>
      </c>
      <c r="F68" s="60">
        <f>+F51*(1-$R$31)</f>
        <v>0</v>
      </c>
      <c r="G68" s="60">
        <f t="shared" ref="G68:Q68" si="10">+G51*(1-$R$31)</f>
        <v>0</v>
      </c>
      <c r="H68" s="60">
        <f t="shared" si="10"/>
        <v>0</v>
      </c>
      <c r="I68" s="60">
        <f t="shared" si="10"/>
        <v>0</v>
      </c>
      <c r="J68" s="60">
        <f t="shared" si="10"/>
        <v>0</v>
      </c>
      <c r="K68" s="60">
        <f t="shared" si="10"/>
        <v>0</v>
      </c>
      <c r="L68" s="60">
        <f t="shared" si="10"/>
        <v>0</v>
      </c>
      <c r="M68" s="60">
        <f t="shared" si="10"/>
        <v>0</v>
      </c>
      <c r="N68" s="60">
        <f t="shared" si="10"/>
        <v>0</v>
      </c>
      <c r="O68" s="60">
        <f t="shared" si="10"/>
        <v>0</v>
      </c>
      <c r="P68" s="60">
        <f t="shared" si="10"/>
        <v>0</v>
      </c>
      <c r="Q68" s="60">
        <f t="shared" si="10"/>
        <v>0</v>
      </c>
      <c r="R68" s="90"/>
      <c r="S68" s="91"/>
      <c r="T68" s="91"/>
      <c r="U68" s="91"/>
      <c r="V68" s="91"/>
      <c r="W68" s="92"/>
      <c r="X68" s="93"/>
    </row>
    <row r="69" s="2" customFormat="1" spans="1:24">
      <c r="A69" s="57" t="s">
        <v>187</v>
      </c>
      <c r="B69" s="58"/>
      <c r="C69" s="58"/>
      <c r="D69" s="63"/>
      <c r="E69" s="59">
        <v>0</v>
      </c>
      <c r="F69" s="60">
        <f>F52*(1-$R$31)</f>
        <v>0</v>
      </c>
      <c r="G69" s="60">
        <f t="shared" ref="G69:Q69" si="11">G52*(1-$R$31)</f>
        <v>0</v>
      </c>
      <c r="H69" s="60">
        <f t="shared" si="11"/>
        <v>0</v>
      </c>
      <c r="I69" s="60">
        <f t="shared" si="11"/>
        <v>0</v>
      </c>
      <c r="J69" s="60">
        <f t="shared" si="11"/>
        <v>0</v>
      </c>
      <c r="K69" s="60">
        <f t="shared" si="11"/>
        <v>0</v>
      </c>
      <c r="L69" s="60">
        <f t="shared" si="11"/>
        <v>0</v>
      </c>
      <c r="M69" s="60">
        <f t="shared" si="11"/>
        <v>0</v>
      </c>
      <c r="N69" s="60">
        <f t="shared" si="11"/>
        <v>0</v>
      </c>
      <c r="O69" s="60">
        <f t="shared" si="11"/>
        <v>0</v>
      </c>
      <c r="P69" s="60">
        <f t="shared" si="11"/>
        <v>0</v>
      </c>
      <c r="Q69" s="60">
        <f t="shared" si="11"/>
        <v>0</v>
      </c>
      <c r="R69" s="90"/>
      <c r="S69" s="91"/>
      <c r="T69" s="91"/>
      <c r="U69" s="91"/>
      <c r="V69" s="91"/>
      <c r="W69" s="92"/>
      <c r="X69" s="93"/>
    </row>
    <row r="70" spans="1:24">
      <c r="A70" s="54" t="s">
        <v>188</v>
      </c>
      <c r="B70" s="55"/>
      <c r="C70" s="55"/>
      <c r="D70" s="56" t="s">
        <v>185</v>
      </c>
      <c r="E70" s="56">
        <f>'OIC input for DSR cal'!I20+'OIC input for DSR cal'!I24+'OIC input for DSR cal'!I28</f>
        <v>0</v>
      </c>
      <c r="F70" s="56">
        <f>F59+F60+F68+F62-F63-F65-F66-F69</f>
        <v>0</v>
      </c>
      <c r="G70" s="56">
        <f t="shared" ref="G70:Q70" si="12">G59+G60+G68+G62-G63-G65-G66-G69</f>
        <v>0</v>
      </c>
      <c r="H70" s="56">
        <f t="shared" si="12"/>
        <v>0</v>
      </c>
      <c r="I70" s="56">
        <f t="shared" si="12"/>
        <v>0</v>
      </c>
      <c r="J70" s="56">
        <f t="shared" si="12"/>
        <v>0</v>
      </c>
      <c r="K70" s="56">
        <f t="shared" si="12"/>
        <v>0</v>
      </c>
      <c r="L70" s="56">
        <f t="shared" si="12"/>
        <v>0</v>
      </c>
      <c r="M70" s="56">
        <f t="shared" si="12"/>
        <v>0</v>
      </c>
      <c r="N70" s="56">
        <f t="shared" si="12"/>
        <v>0</v>
      </c>
      <c r="O70" s="56">
        <f t="shared" si="12"/>
        <v>0</v>
      </c>
      <c r="P70" s="56">
        <f t="shared" si="12"/>
        <v>0</v>
      </c>
      <c r="Q70" s="56">
        <f t="shared" si="12"/>
        <v>0</v>
      </c>
      <c r="R70" s="71"/>
      <c r="S70" s="72"/>
      <c r="T70" s="72"/>
      <c r="U70" s="72"/>
      <c r="V70" s="72"/>
      <c r="W70" s="73"/>
      <c r="X70" s="49"/>
    </row>
    <row r="71" spans="1:24">
      <c r="A71" s="54" t="s">
        <v>189</v>
      </c>
      <c r="B71" s="55"/>
      <c r="C71" s="55"/>
      <c r="D71" s="56" t="s">
        <v>190</v>
      </c>
      <c r="E71" s="82" t="e">
        <f>#REF!</f>
        <v>#REF!</v>
      </c>
      <c r="F71" s="82">
        <f t="shared" ref="F71:H71" si="13">IF(F67&lt;0,"Error",(F59+F67)/2*F55)</f>
        <v>0</v>
      </c>
      <c r="G71" s="82">
        <f t="shared" si="13"/>
        <v>0</v>
      </c>
      <c r="H71" s="82">
        <f t="shared" si="13"/>
        <v>0</v>
      </c>
      <c r="I71" s="82">
        <f t="shared" ref="I71:Q71" si="14">IF(I67&lt;0,"Error",(I59+I67)/2*I55)</f>
        <v>0</v>
      </c>
      <c r="J71" s="82">
        <f t="shared" si="14"/>
        <v>0</v>
      </c>
      <c r="K71" s="82">
        <f t="shared" si="14"/>
        <v>0</v>
      </c>
      <c r="L71" s="82">
        <f t="shared" si="14"/>
        <v>0</v>
      </c>
      <c r="M71" s="82">
        <f t="shared" si="14"/>
        <v>0</v>
      </c>
      <c r="N71" s="82">
        <f t="shared" si="14"/>
        <v>0</v>
      </c>
      <c r="O71" s="82">
        <f t="shared" si="14"/>
        <v>0</v>
      </c>
      <c r="P71" s="82">
        <f t="shared" si="14"/>
        <v>0</v>
      </c>
      <c r="Q71" s="82">
        <f t="shared" si="14"/>
        <v>0</v>
      </c>
      <c r="R71" s="71"/>
      <c r="S71" s="72"/>
      <c r="T71" s="72"/>
      <c r="U71" s="72"/>
      <c r="V71" s="72"/>
      <c r="W71" s="73"/>
      <c r="X71" s="49"/>
    </row>
    <row r="72" spans="1:24">
      <c r="A72" s="54" t="s">
        <v>191</v>
      </c>
      <c r="B72" s="55"/>
      <c r="C72" s="55"/>
      <c r="D72" s="56" t="s">
        <v>190</v>
      </c>
      <c r="E72" s="82" t="s">
        <v>60</v>
      </c>
      <c r="F72" s="82">
        <f>IF(F67&lt;0,"Error",(F59+F70)/2*(F55+'OIC input for DSR cal'!$D$46))</f>
        <v>0</v>
      </c>
      <c r="G72" s="82">
        <f>IF(G67&lt;0,"Error",(F70+G70)/2*(G55+'OIC input for DSR cal'!$D$46))</f>
        <v>0</v>
      </c>
      <c r="H72" s="82">
        <f>IF(H67&lt;0,"Error",(G70+H70)/2*(H55+'OIC input for DSR cal'!$D$46))</f>
        <v>0</v>
      </c>
      <c r="I72" s="82">
        <f>IF(I67&lt;0,"Error",(H70+I70)/2*(I55+'OIC input for DSR cal'!$D$46))</f>
        <v>0</v>
      </c>
      <c r="J72" s="82">
        <f>IF(J67&lt;0,"Error",(I70+J70)/2*(J55+'OIC input for DSR cal'!$D$46))</f>
        <v>0</v>
      </c>
      <c r="K72" s="82">
        <f>IF(K67&lt;0,"Error",(J70+K70)/2*(K55+'OIC input for DSR cal'!$D$46))</f>
        <v>0</v>
      </c>
      <c r="L72" s="82">
        <f>IF(L67&lt;0,"Error",(K70+L70)/2*(L55+'OIC input for DSR cal'!$D$46))</f>
        <v>0</v>
      </c>
      <c r="M72" s="82">
        <f>IF(M67&lt;0,"Error",(L70+M70)/2*(M55+'OIC input for DSR cal'!$D$46))</f>
        <v>0</v>
      </c>
      <c r="N72" s="82">
        <f>IF(N67&lt;0,"Error",(M70+N70)/2*(N55+'OIC input for DSR cal'!$D$46))</f>
        <v>0</v>
      </c>
      <c r="O72" s="82">
        <f>IF(O67&lt;0,"Error",(N70+O70)/2*(O55+'OIC input for DSR cal'!$D$46))</f>
        <v>0</v>
      </c>
      <c r="P72" s="82">
        <f>IF(P67&lt;0,"Error",(O70+P70)/2*(P55+'OIC input for DSR cal'!$D$46))</f>
        <v>0</v>
      </c>
      <c r="Q72" s="82">
        <f>IF(Q67&lt;0,"Error",(P70+Q70)/2*(Q55+'OIC input for DSR cal'!$D$46))</f>
        <v>0</v>
      </c>
      <c r="R72" s="71"/>
      <c r="S72" s="72"/>
      <c r="T72" s="72"/>
      <c r="U72" s="72"/>
      <c r="V72" s="72"/>
      <c r="W72" s="73"/>
      <c r="X72" s="49"/>
    </row>
    <row r="73" spans="1:24">
      <c r="A73" s="49"/>
      <c r="B73" s="49"/>
      <c r="C73" s="49"/>
      <c r="D73" s="49"/>
      <c r="E73" s="49"/>
      <c r="F73" s="49"/>
      <c r="G73" s="49"/>
      <c r="H73" s="49"/>
      <c r="I73" s="49"/>
      <c r="J73" s="49"/>
      <c r="K73" s="49"/>
      <c r="L73" s="49"/>
      <c r="M73" s="49"/>
      <c r="N73" s="49"/>
      <c r="O73" s="49"/>
      <c r="P73" s="49"/>
      <c r="Q73" s="49"/>
      <c r="R73" s="49"/>
      <c r="S73" s="49"/>
      <c r="T73" s="49"/>
      <c r="U73" s="49"/>
      <c r="V73" s="49"/>
      <c r="W73" s="49"/>
      <c r="X73" s="49"/>
    </row>
    <row r="74" spans="1:24">
      <c r="A74" s="49"/>
      <c r="B74" s="49"/>
      <c r="C74" s="49"/>
      <c r="D74" s="49"/>
      <c r="E74" s="49"/>
      <c r="F74" s="49"/>
      <c r="G74" s="49"/>
      <c r="H74" s="49"/>
      <c r="I74" s="49"/>
      <c r="J74" s="49"/>
      <c r="K74" s="49"/>
      <c r="L74" s="49"/>
      <c r="M74" s="49"/>
      <c r="N74" s="49"/>
      <c r="O74" s="49"/>
      <c r="P74" s="49"/>
      <c r="Q74" s="49"/>
      <c r="R74" s="49"/>
      <c r="S74" s="49"/>
      <c r="T74" s="49"/>
      <c r="U74" s="49"/>
      <c r="V74" s="49"/>
      <c r="W74" s="49"/>
      <c r="X74" s="49"/>
    </row>
    <row r="75" ht="13.8" spans="1:24">
      <c r="A75" s="83" t="s">
        <v>192</v>
      </c>
      <c r="B75" s="49"/>
      <c r="C75" s="49"/>
      <c r="D75" s="49"/>
      <c r="E75" s="49"/>
      <c r="F75" s="49"/>
      <c r="G75" s="49"/>
      <c r="H75" s="49"/>
      <c r="I75" s="49"/>
      <c r="J75" s="49"/>
      <c r="K75" s="49"/>
      <c r="L75" s="49"/>
      <c r="M75" s="49"/>
      <c r="N75" s="49"/>
      <c r="O75" s="49"/>
      <c r="P75" s="49"/>
      <c r="Q75" s="49"/>
      <c r="R75" s="49"/>
      <c r="S75" s="49"/>
      <c r="T75" s="49"/>
      <c r="U75" s="49"/>
      <c r="V75" s="49"/>
      <c r="W75" s="49"/>
      <c r="X75" s="49"/>
    </row>
    <row r="76" ht="13.8" spans="1:24">
      <c r="A76" s="84" t="s">
        <v>193</v>
      </c>
      <c r="B76" s="49"/>
      <c r="C76" s="49"/>
      <c r="D76" s="49"/>
      <c r="E76" s="49"/>
      <c r="F76" s="49"/>
      <c r="G76" s="49"/>
      <c r="H76" s="49"/>
      <c r="I76" s="49"/>
      <c r="J76" s="49"/>
      <c r="K76" s="49"/>
      <c r="L76" s="49"/>
      <c r="M76" s="49"/>
      <c r="N76" s="49"/>
      <c r="O76" s="49"/>
      <c r="P76" s="49"/>
      <c r="Q76" s="49"/>
      <c r="R76" s="49"/>
      <c r="S76" s="49"/>
      <c r="T76" s="49"/>
      <c r="U76" s="49"/>
      <c r="V76" s="49"/>
      <c r="W76" s="49"/>
      <c r="X76" s="49"/>
    </row>
    <row r="77" s="3" customFormat="1" ht="15.6" spans="1:24">
      <c r="A77" s="85" t="s">
        <v>194</v>
      </c>
      <c r="B77" s="86"/>
      <c r="C77" s="86"/>
      <c r="D77" s="86"/>
      <c r="E77" s="86"/>
      <c r="F77" s="86"/>
      <c r="G77" s="86"/>
      <c r="H77" s="86"/>
      <c r="I77" s="86"/>
      <c r="J77" s="86"/>
      <c r="K77" s="86"/>
      <c r="L77" s="86"/>
      <c r="M77" s="86"/>
      <c r="N77" s="86"/>
      <c r="O77" s="86"/>
      <c r="P77" s="86"/>
      <c r="Q77" s="86"/>
      <c r="R77" s="86"/>
      <c r="S77" s="86"/>
      <c r="T77" s="86"/>
      <c r="U77" s="86"/>
      <c r="V77" s="86"/>
      <c r="W77" s="86"/>
      <c r="X77" s="86"/>
    </row>
    <row r="78" s="3" customFormat="1" spans="1:24">
      <c r="A78" s="87" t="s">
        <v>195</v>
      </c>
      <c r="B78" s="87"/>
      <c r="C78" s="87"/>
      <c r="D78" s="87"/>
      <c r="E78" s="87"/>
      <c r="F78" s="87"/>
      <c r="G78" s="87"/>
      <c r="H78" s="87"/>
      <c r="I78" s="87"/>
      <c r="J78" s="87"/>
      <c r="K78" s="87"/>
      <c r="L78" s="87"/>
      <c r="M78" s="87"/>
      <c r="N78" s="87"/>
      <c r="O78" s="87"/>
      <c r="P78" s="87"/>
      <c r="Q78" s="87"/>
      <c r="R78" s="94"/>
      <c r="S78" s="94"/>
      <c r="T78" s="94"/>
      <c r="U78" s="94"/>
      <c r="V78" s="94"/>
      <c r="W78" s="94"/>
      <c r="X78" s="86"/>
    </row>
    <row r="79" s="3" customFormat="1" ht="15.75" customHeight="1" spans="1:24">
      <c r="A79" s="87" t="s">
        <v>196</v>
      </c>
      <c r="B79" s="87"/>
      <c r="C79" s="87"/>
      <c r="D79" s="87"/>
      <c r="E79" s="87"/>
      <c r="F79" s="87"/>
      <c r="G79" s="87"/>
      <c r="H79" s="87"/>
      <c r="I79" s="87"/>
      <c r="J79" s="87"/>
      <c r="K79" s="87"/>
      <c r="L79" s="87"/>
      <c r="M79" s="87"/>
      <c r="N79" s="87"/>
      <c r="O79" s="87"/>
      <c r="P79" s="87"/>
      <c r="Q79" s="87"/>
      <c r="R79" s="87"/>
      <c r="S79" s="87"/>
      <c r="T79" s="87"/>
      <c r="U79" s="87"/>
      <c r="V79" s="87"/>
      <c r="W79" s="87"/>
      <c r="X79" s="86"/>
    </row>
    <row r="80" s="3" customFormat="1" spans="1:24">
      <c r="A80" s="87" t="s">
        <v>197</v>
      </c>
      <c r="B80" s="87"/>
      <c r="C80" s="87"/>
      <c r="D80" s="87"/>
      <c r="E80" s="87"/>
      <c r="F80" s="87"/>
      <c r="G80" s="87"/>
      <c r="H80" s="87"/>
      <c r="I80" s="87"/>
      <c r="J80" s="87"/>
      <c r="K80" s="87"/>
      <c r="L80" s="87"/>
      <c r="M80" s="87"/>
      <c r="N80" s="87"/>
      <c r="O80" s="87"/>
      <c r="P80" s="87"/>
      <c r="Q80" s="87"/>
      <c r="R80" s="87"/>
      <c r="S80" s="87"/>
      <c r="T80" s="87"/>
      <c r="U80" s="87"/>
      <c r="V80" s="87"/>
      <c r="W80" s="87"/>
      <c r="X80" s="86"/>
    </row>
    <row r="81" s="3" customFormat="1" spans="1:24">
      <c r="A81" s="87" t="s">
        <v>198</v>
      </c>
      <c r="B81" s="87"/>
      <c r="C81" s="87"/>
      <c r="D81" s="87"/>
      <c r="E81" s="87"/>
      <c r="F81" s="87"/>
      <c r="G81" s="87"/>
      <c r="H81" s="87"/>
      <c r="I81" s="87"/>
      <c r="J81" s="87"/>
      <c r="K81" s="87"/>
      <c r="L81" s="87"/>
      <c r="M81" s="87"/>
      <c r="N81" s="87"/>
      <c r="O81" s="87"/>
      <c r="P81" s="87"/>
      <c r="Q81" s="87"/>
      <c r="R81" s="87"/>
      <c r="S81" s="87"/>
      <c r="T81" s="87"/>
      <c r="U81" s="87"/>
      <c r="V81" s="87"/>
      <c r="W81" s="87"/>
      <c r="X81" s="86"/>
    </row>
    <row r="82" s="3" customFormat="1" ht="25" customHeight="1" spans="1:24">
      <c r="A82" s="87" t="s">
        <v>199</v>
      </c>
      <c r="B82" s="87"/>
      <c r="C82" s="87"/>
      <c r="D82" s="87"/>
      <c r="E82" s="87"/>
      <c r="F82" s="87"/>
      <c r="G82" s="87"/>
      <c r="H82" s="87"/>
      <c r="I82" s="87"/>
      <c r="J82" s="87"/>
      <c r="K82" s="87"/>
      <c r="L82" s="87"/>
      <c r="M82" s="87"/>
      <c r="N82" s="87"/>
      <c r="O82" s="87"/>
      <c r="P82" s="87"/>
      <c r="Q82" s="87"/>
      <c r="R82" s="87"/>
      <c r="S82" s="87"/>
      <c r="T82" s="87"/>
      <c r="U82" s="87"/>
      <c r="V82" s="87"/>
      <c r="W82" s="87"/>
      <c r="X82" s="86"/>
    </row>
    <row r="83" s="3" customFormat="1" ht="25" customHeight="1" spans="1:24">
      <c r="A83" s="87" t="s">
        <v>200</v>
      </c>
      <c r="B83" s="87"/>
      <c r="C83" s="87"/>
      <c r="D83" s="87"/>
      <c r="E83" s="87"/>
      <c r="F83" s="87"/>
      <c r="G83" s="87"/>
      <c r="H83" s="87"/>
      <c r="I83" s="87"/>
      <c r="J83" s="87"/>
      <c r="K83" s="87"/>
      <c r="L83" s="87"/>
      <c r="M83" s="87"/>
      <c r="N83" s="87"/>
      <c r="O83" s="87"/>
      <c r="P83" s="87"/>
      <c r="Q83" s="87"/>
      <c r="R83" s="87"/>
      <c r="S83" s="87"/>
      <c r="T83" s="87"/>
      <c r="U83" s="87"/>
      <c r="V83" s="87"/>
      <c r="W83" s="87"/>
      <c r="X83" s="86"/>
    </row>
    <row r="84" s="3" customFormat="1" spans="1:24">
      <c r="A84" s="87" t="s">
        <v>201</v>
      </c>
      <c r="B84" s="87"/>
      <c r="C84" s="87"/>
      <c r="D84" s="87"/>
      <c r="E84" s="87"/>
      <c r="F84" s="87"/>
      <c r="G84" s="87"/>
      <c r="H84" s="87"/>
      <c r="I84" s="87"/>
      <c r="J84" s="87"/>
      <c r="K84" s="87"/>
      <c r="L84" s="87"/>
      <c r="M84" s="87"/>
      <c r="N84" s="87"/>
      <c r="O84" s="87"/>
      <c r="P84" s="87"/>
      <c r="Q84" s="87"/>
      <c r="R84" s="87"/>
      <c r="S84" s="87"/>
      <c r="T84" s="87"/>
      <c r="U84" s="87"/>
      <c r="V84" s="87"/>
      <c r="W84" s="87"/>
      <c r="X84" s="86"/>
    </row>
    <row r="85" s="3" customFormat="1" spans="1:24">
      <c r="A85" s="87" t="s">
        <v>202</v>
      </c>
      <c r="B85" s="87"/>
      <c r="C85" s="87"/>
      <c r="D85" s="87"/>
      <c r="E85" s="87"/>
      <c r="F85" s="87"/>
      <c r="G85" s="87"/>
      <c r="H85" s="87"/>
      <c r="I85" s="87"/>
      <c r="J85" s="87"/>
      <c r="K85" s="87"/>
      <c r="L85" s="87"/>
      <c r="M85" s="87"/>
      <c r="N85" s="87"/>
      <c r="O85" s="87"/>
      <c r="P85" s="87"/>
      <c r="Q85" s="87"/>
      <c r="R85" s="87"/>
      <c r="S85" s="87"/>
      <c r="T85" s="87"/>
      <c r="U85" s="87"/>
      <c r="V85" s="87"/>
      <c r="W85" s="87"/>
      <c r="X85" s="86"/>
    </row>
    <row r="86" s="3" customFormat="1" spans="1:24">
      <c r="A86" s="87" t="s">
        <v>203</v>
      </c>
      <c r="B86" s="87"/>
      <c r="C86" s="87"/>
      <c r="D86" s="87"/>
      <c r="E86" s="87"/>
      <c r="F86" s="87"/>
      <c r="G86" s="87"/>
      <c r="H86" s="87"/>
      <c r="I86" s="87"/>
      <c r="J86" s="87"/>
      <c r="K86" s="87"/>
      <c r="L86" s="87"/>
      <c r="M86" s="87"/>
      <c r="N86" s="87"/>
      <c r="O86" s="87"/>
      <c r="P86" s="87"/>
      <c r="Q86" s="87"/>
      <c r="R86" s="87"/>
      <c r="S86" s="87"/>
      <c r="T86" s="87"/>
      <c r="U86" s="87"/>
      <c r="V86" s="87"/>
      <c r="W86" s="87"/>
      <c r="X86" s="86"/>
    </row>
    <row r="87" s="3" customFormat="1" spans="1:24">
      <c r="A87" s="87" t="s">
        <v>204</v>
      </c>
      <c r="B87" s="87"/>
      <c r="C87" s="87"/>
      <c r="D87" s="87"/>
      <c r="E87" s="87"/>
      <c r="F87" s="87"/>
      <c r="G87" s="87"/>
      <c r="H87" s="87"/>
      <c r="I87" s="87"/>
      <c r="J87" s="87"/>
      <c r="K87" s="87"/>
      <c r="L87" s="87"/>
      <c r="M87" s="87"/>
      <c r="N87" s="87"/>
      <c r="O87" s="87"/>
      <c r="P87" s="87"/>
      <c r="Q87" s="87"/>
      <c r="R87" s="87"/>
      <c r="S87" s="87"/>
      <c r="T87" s="87"/>
      <c r="U87" s="87"/>
      <c r="V87" s="87"/>
      <c r="W87" s="87"/>
      <c r="X87" s="86"/>
    </row>
    <row r="88" s="3" customFormat="1" spans="1:24">
      <c r="A88" s="87" t="s">
        <v>205</v>
      </c>
      <c r="B88" s="87"/>
      <c r="C88" s="87"/>
      <c r="D88" s="87"/>
      <c r="E88" s="87"/>
      <c r="F88" s="87"/>
      <c r="G88" s="87"/>
      <c r="H88" s="87"/>
      <c r="I88" s="87"/>
      <c r="J88" s="87"/>
      <c r="K88" s="87"/>
      <c r="L88" s="87"/>
      <c r="M88" s="87"/>
      <c r="N88" s="87"/>
      <c r="O88" s="87"/>
      <c r="P88" s="87"/>
      <c r="Q88" s="87"/>
      <c r="R88" s="87"/>
      <c r="S88" s="87"/>
      <c r="T88" s="87"/>
      <c r="U88" s="87"/>
      <c r="V88" s="87"/>
      <c r="W88" s="87"/>
      <c r="X88" s="86"/>
    </row>
    <row r="89" s="3" customFormat="1" spans="1:24">
      <c r="A89" s="87" t="s">
        <v>206</v>
      </c>
      <c r="B89" s="87"/>
      <c r="C89" s="87"/>
      <c r="D89" s="87"/>
      <c r="E89" s="87"/>
      <c r="F89" s="87"/>
      <c r="G89" s="87"/>
      <c r="H89" s="87"/>
      <c r="I89" s="87"/>
      <c r="J89" s="87"/>
      <c r="K89" s="87"/>
      <c r="L89" s="87"/>
      <c r="M89" s="87"/>
      <c r="N89" s="87"/>
      <c r="O89" s="87"/>
      <c r="P89" s="87"/>
      <c r="Q89" s="87"/>
      <c r="R89" s="87"/>
      <c r="S89" s="87"/>
      <c r="T89" s="87"/>
      <c r="U89" s="87"/>
      <c r="V89" s="87"/>
      <c r="W89" s="87"/>
      <c r="X89" s="86"/>
    </row>
    <row r="90" s="3" customFormat="1" spans="1:24">
      <c r="A90" s="87" t="s">
        <v>207</v>
      </c>
      <c r="B90" s="87"/>
      <c r="C90" s="87"/>
      <c r="D90" s="87"/>
      <c r="E90" s="87"/>
      <c r="F90" s="87"/>
      <c r="G90" s="87"/>
      <c r="H90" s="87"/>
      <c r="I90" s="87"/>
      <c r="J90" s="87"/>
      <c r="K90" s="87"/>
      <c r="L90" s="87"/>
      <c r="M90" s="87"/>
      <c r="N90" s="87"/>
      <c r="O90" s="87"/>
      <c r="P90" s="87"/>
      <c r="Q90" s="87"/>
      <c r="R90" s="87"/>
      <c r="S90" s="87"/>
      <c r="T90" s="87"/>
      <c r="U90" s="87"/>
      <c r="V90" s="87"/>
      <c r="W90" s="87"/>
      <c r="X90" s="86"/>
    </row>
    <row r="91" s="3" customFormat="1" spans="1:24">
      <c r="A91" s="87" t="s">
        <v>208</v>
      </c>
      <c r="B91" s="87"/>
      <c r="C91" s="87"/>
      <c r="D91" s="87"/>
      <c r="E91" s="87"/>
      <c r="F91" s="87"/>
      <c r="G91" s="87"/>
      <c r="H91" s="87"/>
      <c r="I91" s="87"/>
      <c r="J91" s="87"/>
      <c r="K91" s="87"/>
      <c r="L91" s="87"/>
      <c r="M91" s="87"/>
      <c r="N91" s="87"/>
      <c r="O91" s="87"/>
      <c r="P91" s="87"/>
      <c r="Q91" s="87"/>
      <c r="R91" s="87"/>
      <c r="S91" s="87"/>
      <c r="T91" s="87"/>
      <c r="U91" s="87"/>
      <c r="V91" s="87"/>
      <c r="W91" s="87"/>
      <c r="X91" s="86"/>
    </row>
    <row r="92" s="3" customFormat="1" ht="25" customHeight="1" spans="1:24">
      <c r="A92" s="87" t="s">
        <v>209</v>
      </c>
      <c r="B92" s="87"/>
      <c r="C92" s="87"/>
      <c r="D92" s="87"/>
      <c r="E92" s="87"/>
      <c r="F92" s="87"/>
      <c r="G92" s="87"/>
      <c r="H92" s="87"/>
      <c r="I92" s="87"/>
      <c r="J92" s="87"/>
      <c r="K92" s="87"/>
      <c r="L92" s="87"/>
      <c r="M92" s="87"/>
      <c r="N92" s="87"/>
      <c r="O92" s="87"/>
      <c r="P92" s="87"/>
      <c r="Q92" s="87"/>
      <c r="R92" s="87"/>
      <c r="S92" s="87"/>
      <c r="T92" s="87"/>
      <c r="U92" s="87"/>
      <c r="V92" s="87"/>
      <c r="W92" s="87"/>
      <c r="X92" s="86"/>
    </row>
    <row r="93" s="3" customFormat="1" spans="1:24">
      <c r="A93" s="87" t="s">
        <v>210</v>
      </c>
      <c r="B93" s="87"/>
      <c r="C93" s="87"/>
      <c r="D93" s="87"/>
      <c r="E93" s="87"/>
      <c r="F93" s="87"/>
      <c r="G93" s="87"/>
      <c r="H93" s="87"/>
      <c r="I93" s="87"/>
      <c r="J93" s="87"/>
      <c r="K93" s="87"/>
      <c r="L93" s="87"/>
      <c r="M93" s="87"/>
      <c r="N93" s="87"/>
      <c r="O93" s="87"/>
      <c r="P93" s="87"/>
      <c r="Q93" s="87"/>
      <c r="R93" s="87"/>
      <c r="S93" s="87"/>
      <c r="T93" s="87"/>
      <c r="U93" s="87"/>
      <c r="V93" s="87"/>
      <c r="W93" s="87"/>
      <c r="X93" s="86"/>
    </row>
    <row r="94" s="3" customFormat="1" spans="1:24">
      <c r="A94" s="87" t="s">
        <v>211</v>
      </c>
      <c r="B94" s="87"/>
      <c r="C94" s="87"/>
      <c r="D94" s="87"/>
      <c r="E94" s="87"/>
      <c r="F94" s="87"/>
      <c r="G94" s="87"/>
      <c r="H94" s="87"/>
      <c r="I94" s="87"/>
      <c r="J94" s="87"/>
      <c r="K94" s="87"/>
      <c r="L94" s="87"/>
      <c r="M94" s="87"/>
      <c r="N94" s="87"/>
      <c r="O94" s="87"/>
      <c r="P94" s="87"/>
      <c r="Q94" s="87"/>
      <c r="R94" s="87"/>
      <c r="S94" s="87"/>
      <c r="T94" s="87"/>
      <c r="U94" s="87"/>
      <c r="V94" s="87"/>
      <c r="W94" s="87"/>
      <c r="X94" s="86"/>
    </row>
    <row r="95" s="3" customFormat="1" spans="1:24">
      <c r="A95" s="87" t="s">
        <v>212</v>
      </c>
      <c r="B95" s="87"/>
      <c r="C95" s="87"/>
      <c r="D95" s="87"/>
      <c r="E95" s="87"/>
      <c r="F95" s="87"/>
      <c r="G95" s="87"/>
      <c r="H95" s="87"/>
      <c r="I95" s="87"/>
      <c r="J95" s="87"/>
      <c r="K95" s="87"/>
      <c r="L95" s="87"/>
      <c r="M95" s="87"/>
      <c r="N95" s="87"/>
      <c r="O95" s="87"/>
      <c r="P95" s="87"/>
      <c r="Q95" s="87"/>
      <c r="R95" s="87"/>
      <c r="S95" s="87"/>
      <c r="T95" s="87"/>
      <c r="U95" s="87"/>
      <c r="V95" s="87"/>
      <c r="W95" s="87"/>
      <c r="X95" s="86"/>
    </row>
    <row r="96" s="3" customFormat="1" spans="1:24">
      <c r="A96" s="87" t="s">
        <v>213</v>
      </c>
      <c r="B96" s="87"/>
      <c r="C96" s="87"/>
      <c r="D96" s="87"/>
      <c r="E96" s="87"/>
      <c r="F96" s="87"/>
      <c r="G96" s="87"/>
      <c r="H96" s="87"/>
      <c r="I96" s="87"/>
      <c r="J96" s="87"/>
      <c r="K96" s="87"/>
      <c r="L96" s="87"/>
      <c r="M96" s="87"/>
      <c r="N96" s="87"/>
      <c r="O96" s="87"/>
      <c r="P96" s="87"/>
      <c r="Q96" s="87"/>
      <c r="R96" s="87"/>
      <c r="S96" s="87"/>
      <c r="T96" s="87"/>
      <c r="U96" s="87"/>
      <c r="V96" s="87"/>
      <c r="W96" s="87"/>
      <c r="X96" s="86"/>
    </row>
    <row r="97" s="3" customFormat="1" spans="1:24">
      <c r="A97" s="87" t="s">
        <v>214</v>
      </c>
      <c r="B97" s="87"/>
      <c r="C97" s="87"/>
      <c r="D97" s="87"/>
      <c r="E97" s="87"/>
      <c r="F97" s="87"/>
      <c r="G97" s="87"/>
      <c r="H97" s="87"/>
      <c r="I97" s="87"/>
      <c r="J97" s="87"/>
      <c r="K97" s="87"/>
      <c r="L97" s="87"/>
      <c r="M97" s="87"/>
      <c r="N97" s="87"/>
      <c r="O97" s="87"/>
      <c r="P97" s="87"/>
      <c r="Q97" s="87"/>
      <c r="R97" s="87"/>
      <c r="S97" s="87"/>
      <c r="T97" s="87"/>
      <c r="U97" s="87"/>
      <c r="V97" s="87"/>
      <c r="W97" s="87"/>
      <c r="X97" s="86"/>
    </row>
    <row r="98" s="3" customFormat="1" spans="1:24">
      <c r="A98" s="87" t="s">
        <v>215</v>
      </c>
      <c r="B98" s="87"/>
      <c r="C98" s="87"/>
      <c r="D98" s="87"/>
      <c r="E98" s="87"/>
      <c r="F98" s="87"/>
      <c r="G98" s="87"/>
      <c r="H98" s="87"/>
      <c r="I98" s="87"/>
      <c r="J98" s="87"/>
      <c r="K98" s="87"/>
      <c r="L98" s="87"/>
      <c r="M98" s="87"/>
      <c r="N98" s="87"/>
      <c r="O98" s="87"/>
      <c r="P98" s="87"/>
      <c r="Q98" s="87"/>
      <c r="R98" s="87"/>
      <c r="S98" s="87"/>
      <c r="T98" s="87"/>
      <c r="U98" s="87"/>
      <c r="V98" s="87"/>
      <c r="W98" s="87"/>
      <c r="X98" s="86"/>
    </row>
    <row r="99" s="3" customFormat="1" ht="25" customHeight="1" spans="1:24">
      <c r="A99" s="87" t="s">
        <v>216</v>
      </c>
      <c r="B99" s="87"/>
      <c r="C99" s="87"/>
      <c r="D99" s="87"/>
      <c r="E99" s="87"/>
      <c r="F99" s="87"/>
      <c r="G99" s="87"/>
      <c r="H99" s="87"/>
      <c r="I99" s="87"/>
      <c r="J99" s="87"/>
      <c r="K99" s="87"/>
      <c r="L99" s="87"/>
      <c r="M99" s="87"/>
      <c r="N99" s="87"/>
      <c r="O99" s="87"/>
      <c r="P99" s="87"/>
      <c r="Q99" s="87"/>
      <c r="R99" s="87"/>
      <c r="S99" s="87"/>
      <c r="T99" s="87"/>
      <c r="U99" s="87"/>
      <c r="V99" s="87"/>
      <c r="W99" s="87"/>
      <c r="X99" s="86"/>
    </row>
    <row r="100" s="3" customFormat="1" spans="1:24">
      <c r="A100" s="87" t="s">
        <v>217</v>
      </c>
      <c r="B100" s="87"/>
      <c r="C100" s="87"/>
      <c r="D100" s="87"/>
      <c r="E100" s="87"/>
      <c r="F100" s="87"/>
      <c r="G100" s="87"/>
      <c r="H100" s="87"/>
      <c r="I100" s="87"/>
      <c r="J100" s="87"/>
      <c r="K100" s="87"/>
      <c r="L100" s="87"/>
      <c r="M100" s="87"/>
      <c r="N100" s="87"/>
      <c r="O100" s="87"/>
      <c r="P100" s="87"/>
      <c r="Q100" s="87"/>
      <c r="R100" s="87"/>
      <c r="S100" s="87"/>
      <c r="T100" s="87"/>
      <c r="U100" s="87"/>
      <c r="V100" s="87"/>
      <c r="W100" s="87"/>
      <c r="X100" s="86"/>
    </row>
    <row r="101" s="3" customFormat="1" spans="1:24">
      <c r="A101" s="87" t="s">
        <v>218</v>
      </c>
      <c r="B101" s="87"/>
      <c r="C101" s="87"/>
      <c r="D101" s="87"/>
      <c r="E101" s="87"/>
      <c r="F101" s="87"/>
      <c r="G101" s="87"/>
      <c r="H101" s="87"/>
      <c r="I101" s="87"/>
      <c r="J101" s="87"/>
      <c r="K101" s="87"/>
      <c r="L101" s="87"/>
      <c r="M101" s="87"/>
      <c r="N101" s="87"/>
      <c r="O101" s="87"/>
      <c r="P101" s="87"/>
      <c r="Q101" s="87"/>
      <c r="R101" s="87"/>
      <c r="S101" s="87"/>
      <c r="T101" s="87"/>
      <c r="U101" s="87"/>
      <c r="V101" s="87"/>
      <c r="W101" s="87"/>
      <c r="X101" s="86"/>
    </row>
    <row r="102" s="3" customFormat="1" spans="1:24">
      <c r="A102" s="87" t="s">
        <v>219</v>
      </c>
      <c r="B102" s="87"/>
      <c r="C102" s="87"/>
      <c r="D102" s="87"/>
      <c r="E102" s="87"/>
      <c r="F102" s="87"/>
      <c r="G102" s="87"/>
      <c r="H102" s="87"/>
      <c r="I102" s="87"/>
      <c r="J102" s="87"/>
      <c r="K102" s="87"/>
      <c r="L102" s="87"/>
      <c r="M102" s="87"/>
      <c r="N102" s="87"/>
      <c r="O102" s="87"/>
      <c r="P102" s="87"/>
      <c r="Q102" s="87"/>
      <c r="R102" s="87"/>
      <c r="S102" s="87"/>
      <c r="T102" s="87"/>
      <c r="U102" s="87"/>
      <c r="V102" s="87"/>
      <c r="W102" s="87"/>
      <c r="X102" s="86"/>
    </row>
    <row r="103" s="3" customFormat="1" spans="1:24">
      <c r="A103" s="87" t="s">
        <v>220</v>
      </c>
      <c r="B103" s="87"/>
      <c r="C103" s="87"/>
      <c r="D103" s="87"/>
      <c r="E103" s="87"/>
      <c r="F103" s="87"/>
      <c r="G103" s="87"/>
      <c r="H103" s="87"/>
      <c r="I103" s="87"/>
      <c r="J103" s="87"/>
      <c r="K103" s="87"/>
      <c r="L103" s="87"/>
      <c r="M103" s="87"/>
      <c r="N103" s="87"/>
      <c r="O103" s="87"/>
      <c r="P103" s="87"/>
      <c r="Q103" s="87"/>
      <c r="R103" s="87"/>
      <c r="S103" s="87"/>
      <c r="T103" s="87"/>
      <c r="U103" s="87"/>
      <c r="V103" s="87"/>
      <c r="W103" s="87"/>
      <c r="X103" s="86"/>
    </row>
    <row r="104" s="3" customFormat="1" spans="1:24">
      <c r="A104" s="87" t="s">
        <v>221</v>
      </c>
      <c r="B104" s="87"/>
      <c r="C104" s="87"/>
      <c r="D104" s="87"/>
      <c r="E104" s="87"/>
      <c r="F104" s="87"/>
      <c r="G104" s="87"/>
      <c r="H104" s="87"/>
      <c r="I104" s="87"/>
      <c r="J104" s="87"/>
      <c r="K104" s="87"/>
      <c r="L104" s="87"/>
      <c r="M104" s="87"/>
      <c r="N104" s="87"/>
      <c r="O104" s="87"/>
      <c r="P104" s="87"/>
      <c r="Q104" s="87"/>
      <c r="R104" s="87"/>
      <c r="S104" s="87"/>
      <c r="T104" s="87"/>
      <c r="U104" s="87"/>
      <c r="V104" s="87"/>
      <c r="W104" s="87"/>
      <c r="X104" s="86"/>
    </row>
    <row r="105" s="3" customFormat="1" spans="1:24">
      <c r="A105" s="87" t="s">
        <v>222</v>
      </c>
      <c r="B105" s="87"/>
      <c r="C105" s="87"/>
      <c r="D105" s="87"/>
      <c r="E105" s="87"/>
      <c r="F105" s="87"/>
      <c r="G105" s="87"/>
      <c r="H105" s="87"/>
      <c r="I105" s="87"/>
      <c r="J105" s="87"/>
      <c r="K105" s="87"/>
      <c r="L105" s="87"/>
      <c r="M105" s="87"/>
      <c r="N105" s="87"/>
      <c r="O105" s="87"/>
      <c r="P105" s="87"/>
      <c r="Q105" s="87"/>
      <c r="R105" s="87"/>
      <c r="S105" s="87"/>
      <c r="T105" s="87"/>
      <c r="U105" s="87"/>
      <c r="V105" s="87"/>
      <c r="W105" s="87"/>
      <c r="X105" s="86"/>
    </row>
    <row r="106" s="3" customFormat="1" spans="1:24">
      <c r="A106" s="87" t="s">
        <v>223</v>
      </c>
      <c r="B106" s="87"/>
      <c r="C106" s="87"/>
      <c r="D106" s="87"/>
      <c r="E106" s="87"/>
      <c r="F106" s="87"/>
      <c r="G106" s="87"/>
      <c r="H106" s="87"/>
      <c r="I106" s="87"/>
      <c r="J106" s="87"/>
      <c r="K106" s="87"/>
      <c r="L106" s="87"/>
      <c r="M106" s="87"/>
      <c r="N106" s="87"/>
      <c r="O106" s="87"/>
      <c r="P106" s="87"/>
      <c r="Q106" s="87"/>
      <c r="R106" s="87"/>
      <c r="S106" s="87"/>
      <c r="T106" s="87"/>
      <c r="U106" s="87"/>
      <c r="V106" s="87"/>
      <c r="W106" s="87"/>
      <c r="X106" s="86"/>
    </row>
    <row r="107" s="3" customFormat="1" spans="1:24">
      <c r="A107" s="87" t="s">
        <v>224</v>
      </c>
      <c r="B107" s="87"/>
      <c r="C107" s="87"/>
      <c r="D107" s="87"/>
      <c r="E107" s="87"/>
      <c r="F107" s="87"/>
      <c r="G107" s="87"/>
      <c r="H107" s="87"/>
      <c r="I107" s="87"/>
      <c r="J107" s="87"/>
      <c r="K107" s="87"/>
      <c r="L107" s="87"/>
      <c r="M107" s="87"/>
      <c r="N107" s="87"/>
      <c r="O107" s="87"/>
      <c r="P107" s="87"/>
      <c r="Q107" s="87"/>
      <c r="R107" s="87"/>
      <c r="S107" s="87"/>
      <c r="T107" s="87"/>
      <c r="U107" s="87"/>
      <c r="V107" s="87"/>
      <c r="W107" s="87"/>
      <c r="X107" s="86"/>
    </row>
    <row r="108" s="3" customFormat="1" spans="1:24">
      <c r="A108" s="87" t="s">
        <v>225</v>
      </c>
      <c r="B108" s="87"/>
      <c r="C108" s="87"/>
      <c r="D108" s="87"/>
      <c r="E108" s="87"/>
      <c r="F108" s="87"/>
      <c r="G108" s="87"/>
      <c r="H108" s="87"/>
      <c r="I108" s="87"/>
      <c r="J108" s="87"/>
      <c r="K108" s="87"/>
      <c r="L108" s="87"/>
      <c r="M108" s="87"/>
      <c r="N108" s="87"/>
      <c r="O108" s="87"/>
      <c r="P108" s="87"/>
      <c r="Q108" s="87"/>
      <c r="R108" s="87"/>
      <c r="S108" s="87"/>
      <c r="T108" s="87"/>
      <c r="U108" s="87"/>
      <c r="V108" s="87"/>
      <c r="W108" s="87"/>
      <c r="X108" s="86"/>
    </row>
    <row r="109" s="3" customFormat="1" ht="25" customHeight="1" spans="1:24">
      <c r="A109" s="87" t="s">
        <v>226</v>
      </c>
      <c r="B109" s="87"/>
      <c r="C109" s="87"/>
      <c r="D109" s="87"/>
      <c r="E109" s="87"/>
      <c r="F109" s="87"/>
      <c r="G109" s="87"/>
      <c r="H109" s="87"/>
      <c r="I109" s="87"/>
      <c r="J109" s="87"/>
      <c r="K109" s="87"/>
      <c r="L109" s="87"/>
      <c r="M109" s="87"/>
      <c r="N109" s="87"/>
      <c r="O109" s="87"/>
      <c r="P109" s="87"/>
      <c r="Q109" s="87"/>
      <c r="R109" s="87"/>
      <c r="S109" s="87"/>
      <c r="T109" s="87"/>
      <c r="U109" s="87"/>
      <c r="V109" s="87"/>
      <c r="W109" s="87"/>
      <c r="X109" s="86"/>
    </row>
    <row r="110" s="3" customFormat="1" spans="1:24">
      <c r="A110" s="87" t="s">
        <v>227</v>
      </c>
      <c r="B110" s="87"/>
      <c r="C110" s="87"/>
      <c r="D110" s="87"/>
      <c r="E110" s="87"/>
      <c r="F110" s="87"/>
      <c r="G110" s="87"/>
      <c r="H110" s="87"/>
      <c r="I110" s="87"/>
      <c r="J110" s="87"/>
      <c r="K110" s="87"/>
      <c r="L110" s="87"/>
      <c r="M110" s="87"/>
      <c r="N110" s="87"/>
      <c r="O110" s="87"/>
      <c r="P110" s="87"/>
      <c r="Q110" s="87"/>
      <c r="R110" s="87"/>
      <c r="S110" s="87"/>
      <c r="T110" s="87"/>
      <c r="U110" s="87"/>
      <c r="V110" s="87"/>
      <c r="W110" s="87"/>
      <c r="X110" s="86"/>
    </row>
    <row r="111" s="3" customFormat="1" spans="1:24">
      <c r="A111" s="87" t="s">
        <v>228</v>
      </c>
      <c r="B111" s="87"/>
      <c r="C111" s="87"/>
      <c r="D111" s="87"/>
      <c r="E111" s="87"/>
      <c r="F111" s="87"/>
      <c r="G111" s="87"/>
      <c r="H111" s="87"/>
      <c r="I111" s="87"/>
      <c r="J111" s="87"/>
      <c r="K111" s="87"/>
      <c r="L111" s="87"/>
      <c r="M111" s="87"/>
      <c r="N111" s="87"/>
      <c r="O111" s="87"/>
      <c r="P111" s="87"/>
      <c r="Q111" s="87"/>
      <c r="R111" s="87"/>
      <c r="S111" s="87"/>
      <c r="T111" s="87"/>
      <c r="U111" s="87"/>
      <c r="V111" s="87"/>
      <c r="W111" s="87"/>
      <c r="X111" s="86"/>
    </row>
    <row r="112" s="3" customFormat="1" spans="1:24">
      <c r="A112" s="87" t="s">
        <v>229</v>
      </c>
      <c r="B112" s="87"/>
      <c r="C112" s="87"/>
      <c r="D112" s="87"/>
      <c r="E112" s="87"/>
      <c r="F112" s="87"/>
      <c r="G112" s="87"/>
      <c r="H112" s="87"/>
      <c r="I112" s="87"/>
      <c r="J112" s="87"/>
      <c r="K112" s="87"/>
      <c r="L112" s="87"/>
      <c r="M112" s="87"/>
      <c r="N112" s="87"/>
      <c r="O112" s="87"/>
      <c r="P112" s="87"/>
      <c r="Q112" s="87"/>
      <c r="R112" s="87"/>
      <c r="S112" s="87"/>
      <c r="T112" s="87"/>
      <c r="U112" s="87"/>
      <c r="V112" s="87"/>
      <c r="W112" s="87"/>
      <c r="X112" s="86"/>
    </row>
    <row r="113" s="3" customFormat="1" ht="27" customHeight="1" spans="1:24">
      <c r="A113" s="87" t="s">
        <v>230</v>
      </c>
      <c r="B113" s="87"/>
      <c r="C113" s="87"/>
      <c r="D113" s="87"/>
      <c r="E113" s="87"/>
      <c r="F113" s="87"/>
      <c r="G113" s="87"/>
      <c r="H113" s="87"/>
      <c r="I113" s="87"/>
      <c r="J113" s="87"/>
      <c r="K113" s="87"/>
      <c r="L113" s="87"/>
      <c r="M113" s="87"/>
      <c r="N113" s="87"/>
      <c r="O113" s="87"/>
      <c r="P113" s="87"/>
      <c r="Q113" s="87"/>
      <c r="R113" s="87"/>
      <c r="S113" s="87"/>
      <c r="T113" s="87"/>
      <c r="U113" s="87"/>
      <c r="V113" s="87"/>
      <c r="W113" s="87"/>
      <c r="X113" s="86"/>
    </row>
    <row r="114" s="3" customFormat="1" spans="1:24">
      <c r="A114" s="87" t="s">
        <v>231</v>
      </c>
      <c r="B114" s="87"/>
      <c r="C114" s="87"/>
      <c r="D114" s="87"/>
      <c r="E114" s="87"/>
      <c r="F114" s="87"/>
      <c r="G114" s="87"/>
      <c r="H114" s="87"/>
      <c r="I114" s="87"/>
      <c r="J114" s="87"/>
      <c r="K114" s="87"/>
      <c r="L114" s="87"/>
      <c r="M114" s="87"/>
      <c r="N114" s="87"/>
      <c r="O114" s="87"/>
      <c r="P114" s="87"/>
      <c r="Q114" s="87"/>
      <c r="R114" s="87"/>
      <c r="S114" s="87"/>
      <c r="T114" s="87"/>
      <c r="U114" s="87"/>
      <c r="V114" s="87"/>
      <c r="W114" s="87"/>
      <c r="X114" s="86"/>
    </row>
    <row r="115" s="3" customFormat="1" ht="25" customHeight="1" spans="1:24">
      <c r="A115" s="87" t="s">
        <v>232</v>
      </c>
      <c r="B115" s="87"/>
      <c r="C115" s="87"/>
      <c r="D115" s="87"/>
      <c r="E115" s="87"/>
      <c r="F115" s="87"/>
      <c r="G115" s="87"/>
      <c r="H115" s="87"/>
      <c r="I115" s="87"/>
      <c r="J115" s="87"/>
      <c r="K115" s="87"/>
      <c r="L115" s="87"/>
      <c r="M115" s="87"/>
      <c r="N115" s="87"/>
      <c r="O115" s="87"/>
      <c r="P115" s="87"/>
      <c r="Q115" s="87"/>
      <c r="R115" s="87"/>
      <c r="S115" s="87"/>
      <c r="T115" s="87"/>
      <c r="U115" s="87"/>
      <c r="V115" s="87"/>
      <c r="W115" s="87"/>
      <c r="X115" s="86"/>
    </row>
    <row r="116" s="3" customFormat="1" spans="1:24">
      <c r="A116" s="87" t="s">
        <v>233</v>
      </c>
      <c r="B116" s="87"/>
      <c r="C116" s="87"/>
      <c r="D116" s="87"/>
      <c r="E116" s="87"/>
      <c r="F116" s="87"/>
      <c r="G116" s="87"/>
      <c r="H116" s="87"/>
      <c r="I116" s="87"/>
      <c r="J116" s="87"/>
      <c r="K116" s="87"/>
      <c r="L116" s="87"/>
      <c r="M116" s="87"/>
      <c r="N116" s="87"/>
      <c r="O116" s="87"/>
      <c r="P116" s="87"/>
      <c r="Q116" s="87"/>
      <c r="R116" s="87"/>
      <c r="S116" s="87"/>
      <c r="T116" s="87"/>
      <c r="U116" s="87"/>
      <c r="V116" s="87"/>
      <c r="W116" s="87"/>
      <c r="X116" s="86"/>
    </row>
    <row r="117" s="3" customFormat="1" spans="1:24">
      <c r="A117" s="87" t="s">
        <v>234</v>
      </c>
      <c r="B117" s="87"/>
      <c r="C117" s="87"/>
      <c r="D117" s="87"/>
      <c r="E117" s="87"/>
      <c r="F117" s="87"/>
      <c r="G117" s="87"/>
      <c r="H117" s="87"/>
      <c r="I117" s="87"/>
      <c r="J117" s="87"/>
      <c r="K117" s="87"/>
      <c r="L117" s="87"/>
      <c r="M117" s="87"/>
      <c r="N117" s="87"/>
      <c r="O117" s="87"/>
      <c r="P117" s="87"/>
      <c r="Q117" s="87"/>
      <c r="R117" s="87"/>
      <c r="S117" s="87"/>
      <c r="T117" s="87"/>
      <c r="U117" s="87"/>
      <c r="V117" s="87"/>
      <c r="W117" s="87"/>
      <c r="X117" s="86"/>
    </row>
    <row r="118" s="3" customFormat="1" ht="25" customHeight="1" spans="1:24">
      <c r="A118" s="87" t="s">
        <v>235</v>
      </c>
      <c r="B118" s="87"/>
      <c r="C118" s="87"/>
      <c r="D118" s="87"/>
      <c r="E118" s="87"/>
      <c r="F118" s="87"/>
      <c r="G118" s="87"/>
      <c r="H118" s="87"/>
      <c r="I118" s="87"/>
      <c r="J118" s="87"/>
      <c r="K118" s="87"/>
      <c r="L118" s="87"/>
      <c r="M118" s="87"/>
      <c r="N118" s="87"/>
      <c r="O118" s="87"/>
      <c r="P118" s="87"/>
      <c r="Q118" s="87"/>
      <c r="R118" s="87"/>
      <c r="S118" s="87"/>
      <c r="T118" s="87"/>
      <c r="U118" s="87"/>
      <c r="V118" s="87"/>
      <c r="W118" s="87"/>
      <c r="X118" s="86"/>
    </row>
    <row r="119" s="4" customFormat="1" ht="13.5" customHeight="1" spans="1:24">
      <c r="A119" s="88" t="s">
        <v>236</v>
      </c>
      <c r="B119" s="88"/>
      <c r="C119" s="88"/>
      <c r="D119" s="88"/>
      <c r="E119" s="88"/>
      <c r="F119" s="88"/>
      <c r="G119" s="88"/>
      <c r="H119" s="88"/>
      <c r="I119" s="88"/>
      <c r="J119" s="88"/>
      <c r="K119" s="88"/>
      <c r="L119" s="88"/>
      <c r="M119" s="88"/>
      <c r="N119" s="88"/>
      <c r="O119" s="88"/>
      <c r="P119" s="88"/>
      <c r="Q119" s="88"/>
      <c r="R119" s="88"/>
      <c r="S119" s="88"/>
      <c r="T119" s="88"/>
      <c r="U119" s="88"/>
      <c r="V119" s="88"/>
      <c r="W119" s="88"/>
      <c r="X119" s="88"/>
    </row>
    <row r="120" ht="20.25" customHeight="1" spans="1:24">
      <c r="A120" s="87" t="s">
        <v>237</v>
      </c>
      <c r="B120" s="87"/>
      <c r="C120" s="87"/>
      <c r="D120" s="87"/>
      <c r="E120" s="87"/>
      <c r="F120" s="87"/>
      <c r="G120" s="87"/>
      <c r="H120" s="87"/>
      <c r="I120" s="87"/>
      <c r="J120" s="87"/>
      <c r="K120" s="87"/>
      <c r="L120" s="87"/>
      <c r="M120" s="87"/>
      <c r="N120" s="87"/>
      <c r="O120" s="87"/>
      <c r="P120" s="87"/>
      <c r="Q120" s="87"/>
      <c r="R120" s="87"/>
      <c r="S120" s="87"/>
      <c r="T120" s="87"/>
      <c r="U120" s="87"/>
      <c r="V120" s="87"/>
      <c r="W120" s="87"/>
      <c r="X120" s="87"/>
    </row>
    <row r="121" spans="1:24">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row>
    <row r="122" spans="1:24">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row>
    <row r="123" spans="1:24">
      <c r="A123" s="89" t="e">
        <f>#REF!</f>
        <v>#REF!</v>
      </c>
      <c r="B123" s="49"/>
      <c r="C123" s="49"/>
      <c r="D123" s="49"/>
      <c r="E123" s="49"/>
      <c r="F123" s="49"/>
      <c r="G123" s="49"/>
      <c r="H123" s="49"/>
      <c r="I123" s="49"/>
      <c r="J123" s="49"/>
      <c r="K123" s="49"/>
      <c r="L123" s="49"/>
      <c r="M123" s="49"/>
      <c r="N123" s="49"/>
      <c r="O123" s="49"/>
      <c r="P123" s="49"/>
      <c r="Q123" s="49"/>
      <c r="R123" s="49"/>
      <c r="S123" s="49"/>
      <c r="T123" s="49"/>
      <c r="U123" s="49"/>
      <c r="V123" s="49"/>
      <c r="W123" s="49"/>
      <c r="X123" s="49"/>
    </row>
    <row r="135" s="5" customFormat="1" spans="1:4">
      <c r="A135" s="5" t="s">
        <v>238</v>
      </c>
      <c r="C135" s="5" t="s">
        <v>239</v>
      </c>
      <c r="D135" s="5" t="s">
        <v>240</v>
      </c>
    </row>
    <row r="136" s="5" customFormat="1" spans="1:4">
      <c r="A136" s="95">
        <v>-0.7</v>
      </c>
      <c r="B136" s="6">
        <v>1</v>
      </c>
      <c r="C136" s="5">
        <v>0</v>
      </c>
      <c r="D136" s="5">
        <v>0</v>
      </c>
    </row>
    <row r="137" s="5" customFormat="1" spans="1:4">
      <c r="A137" s="95">
        <v>-0.65</v>
      </c>
      <c r="B137" s="6">
        <v>0.95</v>
      </c>
      <c r="C137" s="5">
        <v>5</v>
      </c>
      <c r="D137" s="5">
        <v>3</v>
      </c>
    </row>
    <row r="138" s="5" customFormat="1" spans="1:4">
      <c r="A138" s="95">
        <v>-0.6</v>
      </c>
      <c r="B138" s="6">
        <v>0.9</v>
      </c>
      <c r="C138" s="5">
        <v>10</v>
      </c>
      <c r="D138" s="5">
        <v>4</v>
      </c>
    </row>
    <row r="139" s="5" customFormat="1" spans="1:4">
      <c r="A139" s="95">
        <v>-0.55</v>
      </c>
      <c r="B139" s="6">
        <v>0.85</v>
      </c>
      <c r="C139" s="5">
        <v>15</v>
      </c>
      <c r="D139" s="5">
        <v>5</v>
      </c>
    </row>
    <row r="140" s="5" customFormat="1" spans="1:4">
      <c r="A140" s="95">
        <v>-0.5</v>
      </c>
      <c r="B140" s="6">
        <v>0.8</v>
      </c>
      <c r="C140" s="5">
        <v>20</v>
      </c>
      <c r="D140" s="5">
        <v>6</v>
      </c>
    </row>
    <row r="141" s="5" customFormat="1" spans="1:4">
      <c r="A141" s="95">
        <v>-0.45</v>
      </c>
      <c r="B141" s="6">
        <v>0.75</v>
      </c>
      <c r="C141" s="5">
        <v>25</v>
      </c>
      <c r="D141" s="5">
        <v>7</v>
      </c>
    </row>
    <row r="142" s="5" customFormat="1" spans="1:4">
      <c r="A142" s="95">
        <v>-0.4</v>
      </c>
      <c r="B142" s="6">
        <v>0.7</v>
      </c>
      <c r="C142" s="5">
        <v>30</v>
      </c>
      <c r="D142" s="5">
        <v>8</v>
      </c>
    </row>
    <row r="143" s="5" customFormat="1" spans="1:4">
      <c r="A143" s="95">
        <v>-0.35</v>
      </c>
      <c r="B143" s="6">
        <v>0.65</v>
      </c>
      <c r="C143" s="5">
        <v>35</v>
      </c>
      <c r="D143" s="5">
        <v>9</v>
      </c>
    </row>
    <row r="144" s="5" customFormat="1" spans="1:4">
      <c r="A144" s="95">
        <v>-0.3</v>
      </c>
      <c r="B144" s="6">
        <v>0.6</v>
      </c>
      <c r="C144" s="5">
        <v>40</v>
      </c>
      <c r="D144" s="5">
        <v>10</v>
      </c>
    </row>
    <row r="145" s="5" customFormat="1" spans="1:4">
      <c r="A145" s="95">
        <v>-0.25</v>
      </c>
      <c r="B145" s="6">
        <v>0.55</v>
      </c>
      <c r="C145" s="5">
        <v>45</v>
      </c>
      <c r="D145" s="5">
        <v>11</v>
      </c>
    </row>
    <row r="146" s="5" customFormat="1" spans="1:4">
      <c r="A146" s="95">
        <v>-0.2</v>
      </c>
      <c r="B146" s="96">
        <v>0.5</v>
      </c>
      <c r="C146" s="5">
        <v>50</v>
      </c>
      <c r="D146" s="5">
        <v>12</v>
      </c>
    </row>
    <row r="147" s="5" customFormat="1" spans="1:4">
      <c r="A147" s="95">
        <v>-0.19</v>
      </c>
      <c r="B147" s="96">
        <v>0.45</v>
      </c>
      <c r="C147" s="5">
        <v>55</v>
      </c>
      <c r="D147" s="5">
        <v>15</v>
      </c>
    </row>
    <row r="148" s="5" customFormat="1" spans="1:4">
      <c r="A148" s="95">
        <v>-0.18</v>
      </c>
      <c r="B148" s="96">
        <v>0.4</v>
      </c>
      <c r="C148" s="5">
        <v>60</v>
      </c>
      <c r="D148" s="5">
        <v>20</v>
      </c>
    </row>
    <row r="149" s="5" customFormat="1" spans="1:4">
      <c r="A149" s="95">
        <v>-0.17</v>
      </c>
      <c r="B149" s="96">
        <v>0.35</v>
      </c>
      <c r="C149" s="5">
        <v>65</v>
      </c>
      <c r="D149" s="5">
        <v>25</v>
      </c>
    </row>
    <row r="150" s="5" customFormat="1" spans="1:4">
      <c r="A150" s="95">
        <v>-0.16</v>
      </c>
      <c r="B150" s="96">
        <v>0.3</v>
      </c>
      <c r="C150" s="5">
        <v>70</v>
      </c>
      <c r="D150" s="5">
        <v>30</v>
      </c>
    </row>
    <row r="151" s="5" customFormat="1" spans="1:4">
      <c r="A151" s="95">
        <v>-0.15</v>
      </c>
      <c r="B151" s="96">
        <v>0.25</v>
      </c>
      <c r="C151" s="5">
        <v>75</v>
      </c>
      <c r="D151" s="5">
        <v>35</v>
      </c>
    </row>
    <row r="152" s="5" customFormat="1" spans="1:4">
      <c r="A152" s="95">
        <v>-0.14</v>
      </c>
      <c r="B152" s="96">
        <v>0.2</v>
      </c>
      <c r="C152" s="5">
        <v>80</v>
      </c>
      <c r="D152" s="5">
        <v>40</v>
      </c>
    </row>
    <row r="153" s="5" customFormat="1" spans="1:3">
      <c r="A153" s="95">
        <v>-0.13</v>
      </c>
      <c r="B153" s="96">
        <v>0.15</v>
      </c>
      <c r="C153" s="5">
        <v>85</v>
      </c>
    </row>
    <row r="154" s="5" customFormat="1" spans="1:3">
      <c r="A154" s="95">
        <v>-0.12</v>
      </c>
      <c r="B154" s="96">
        <v>0.1</v>
      </c>
      <c r="C154" s="5">
        <v>90</v>
      </c>
    </row>
    <row r="155" s="5" customFormat="1" spans="1:3">
      <c r="A155" s="95">
        <v>-0.11</v>
      </c>
      <c r="B155" s="96">
        <v>0.05</v>
      </c>
      <c r="C155" s="5">
        <v>95</v>
      </c>
    </row>
    <row r="156" s="5" customFormat="1" spans="1:3">
      <c r="A156" s="95">
        <v>-0.1</v>
      </c>
      <c r="B156" s="96">
        <v>0</v>
      </c>
      <c r="C156" s="5">
        <v>100</v>
      </c>
    </row>
    <row r="157" s="5" customFormat="1" spans="1:3">
      <c r="A157" s="95">
        <v>-0.09</v>
      </c>
      <c r="B157" s="97"/>
      <c r="C157" s="5">
        <v>105</v>
      </c>
    </row>
    <row r="158" s="5" customFormat="1" spans="1:3">
      <c r="A158" s="95">
        <v>-0.08</v>
      </c>
      <c r="B158" s="6"/>
      <c r="C158" s="5">
        <v>110</v>
      </c>
    </row>
    <row r="159" s="5" customFormat="1" spans="1:3">
      <c r="A159" s="95">
        <v>-0.07</v>
      </c>
      <c r="B159" s="6"/>
      <c r="C159" s="5">
        <v>115</v>
      </c>
    </row>
    <row r="160" s="5" customFormat="1" spans="1:3">
      <c r="A160" s="95">
        <v>-0.06</v>
      </c>
      <c r="B160" s="6"/>
      <c r="C160" s="5">
        <v>120</v>
      </c>
    </row>
    <row r="161" s="5" customFormat="1" spans="1:3">
      <c r="A161" s="95">
        <v>-0.05</v>
      </c>
      <c r="B161" s="6"/>
      <c r="C161" s="5">
        <v>125</v>
      </c>
    </row>
    <row r="162" s="5" customFormat="1" spans="1:3">
      <c r="A162" s="95">
        <v>-0.04</v>
      </c>
      <c r="B162" s="6"/>
      <c r="C162" s="5">
        <v>130</v>
      </c>
    </row>
    <row r="163" s="5" customFormat="1" spans="1:3">
      <c r="A163" s="95">
        <v>-0.03</v>
      </c>
      <c r="B163" s="6"/>
      <c r="C163" s="5">
        <v>135</v>
      </c>
    </row>
    <row r="164" s="5" customFormat="1" spans="1:3">
      <c r="A164" s="95">
        <v>-0.02</v>
      </c>
      <c r="B164" s="6"/>
      <c r="C164" s="5">
        <v>140</v>
      </c>
    </row>
    <row r="165" s="5" customFormat="1" spans="1:3">
      <c r="A165" s="95">
        <v>-0.01</v>
      </c>
      <c r="B165" s="6"/>
      <c r="C165" s="5">
        <v>145</v>
      </c>
    </row>
    <row r="166" s="5" customFormat="1" spans="1:3">
      <c r="A166" s="95">
        <v>0</v>
      </c>
      <c r="B166" s="6"/>
      <c r="C166" s="5">
        <v>150</v>
      </c>
    </row>
    <row r="167" s="5" customFormat="1" spans="1:3">
      <c r="A167" s="95">
        <v>0.01</v>
      </c>
      <c r="B167" s="6"/>
      <c r="C167" s="5">
        <v>155</v>
      </c>
    </row>
    <row r="168" s="5" customFormat="1" spans="1:3">
      <c r="A168" s="95">
        <v>0.02</v>
      </c>
      <c r="B168" s="6"/>
      <c r="C168" s="5">
        <v>160</v>
      </c>
    </row>
    <row r="169" s="5" customFormat="1" spans="1:3">
      <c r="A169" s="95">
        <v>0.03</v>
      </c>
      <c r="B169" s="6"/>
      <c r="C169" s="5">
        <v>165</v>
      </c>
    </row>
    <row r="170" s="5" customFormat="1" spans="1:3">
      <c r="A170" s="95">
        <v>0.04</v>
      </c>
      <c r="C170" s="5">
        <v>170</v>
      </c>
    </row>
    <row r="171" s="5" customFormat="1" spans="1:3">
      <c r="A171" s="95">
        <v>0.05</v>
      </c>
      <c r="C171" s="5">
        <v>175</v>
      </c>
    </row>
    <row r="172" s="5" customFormat="1" spans="1:3">
      <c r="A172" s="95">
        <v>0.06</v>
      </c>
      <c r="C172" s="5">
        <v>180</v>
      </c>
    </row>
    <row r="173" s="5" customFormat="1" spans="1:3">
      <c r="A173" s="95">
        <v>0.07</v>
      </c>
      <c r="C173" s="5">
        <v>185</v>
      </c>
    </row>
    <row r="174" s="5" customFormat="1" spans="1:3">
      <c r="A174" s="95">
        <v>0.08</v>
      </c>
      <c r="C174" s="5">
        <v>190</v>
      </c>
    </row>
    <row r="175" s="5" customFormat="1" spans="1:3">
      <c r="A175" s="95">
        <v>0.09</v>
      </c>
      <c r="C175" s="5">
        <v>195</v>
      </c>
    </row>
    <row r="176" s="5" customFormat="1" spans="1:3">
      <c r="A176" s="95">
        <v>0.1</v>
      </c>
      <c r="C176" s="5">
        <v>200</v>
      </c>
    </row>
    <row r="177" s="5" customFormat="1" spans="1:3">
      <c r="A177" s="95">
        <v>0.11</v>
      </c>
      <c r="C177" s="5">
        <v>205</v>
      </c>
    </row>
    <row r="178" s="5" customFormat="1" spans="1:3">
      <c r="A178" s="95">
        <v>0.12</v>
      </c>
      <c r="C178" s="5">
        <v>210</v>
      </c>
    </row>
    <row r="179" s="5" customFormat="1" spans="1:3">
      <c r="A179" s="95">
        <v>0.13</v>
      </c>
      <c r="C179" s="5">
        <v>215</v>
      </c>
    </row>
    <row r="180" s="5" customFormat="1" spans="1:3">
      <c r="A180" s="95">
        <v>0.14</v>
      </c>
      <c r="C180" s="5">
        <v>220</v>
      </c>
    </row>
    <row r="181" s="5" customFormat="1" spans="1:3">
      <c r="A181" s="95">
        <v>0.15</v>
      </c>
      <c r="C181" s="5">
        <v>225</v>
      </c>
    </row>
    <row r="182" s="5" customFormat="1" spans="1:3">
      <c r="A182" s="95">
        <v>0.16</v>
      </c>
      <c r="C182" s="5">
        <v>230</v>
      </c>
    </row>
    <row r="183" s="5" customFormat="1" spans="1:3">
      <c r="A183" s="95">
        <v>0.17</v>
      </c>
      <c r="C183" s="5">
        <v>235</v>
      </c>
    </row>
    <row r="184" s="5" customFormat="1" spans="1:3">
      <c r="A184" s="95">
        <v>0.18</v>
      </c>
      <c r="C184" s="5">
        <v>240</v>
      </c>
    </row>
    <row r="185" s="5" customFormat="1" spans="1:3">
      <c r="A185" s="95">
        <v>0.19</v>
      </c>
      <c r="C185" s="5">
        <v>245</v>
      </c>
    </row>
    <row r="186" s="5" customFormat="1" spans="1:3">
      <c r="A186" s="95">
        <v>0.2</v>
      </c>
      <c r="C186" s="5">
        <v>250</v>
      </c>
    </row>
    <row r="187" s="5" customFormat="1" spans="1:3">
      <c r="A187" s="95">
        <v>0.21</v>
      </c>
      <c r="C187" s="5">
        <v>255</v>
      </c>
    </row>
    <row r="188" s="5" customFormat="1" spans="1:3">
      <c r="A188" s="95">
        <v>0.22</v>
      </c>
      <c r="C188" s="5">
        <v>260</v>
      </c>
    </row>
    <row r="189" s="5" customFormat="1" spans="1:3">
      <c r="A189" s="95">
        <v>0.23</v>
      </c>
      <c r="C189" s="5">
        <v>265</v>
      </c>
    </row>
    <row r="190" s="5" customFormat="1" spans="1:3">
      <c r="A190" s="95">
        <v>0.24</v>
      </c>
      <c r="C190" s="5">
        <v>270</v>
      </c>
    </row>
    <row r="191" s="5" customFormat="1" spans="1:3">
      <c r="A191" s="95">
        <v>0.25</v>
      </c>
      <c r="C191" s="5">
        <v>275</v>
      </c>
    </row>
    <row r="192" s="5" customFormat="1" spans="1:3">
      <c r="A192" s="95">
        <v>0.26</v>
      </c>
      <c r="C192" s="5">
        <v>280</v>
      </c>
    </row>
    <row r="193" s="5" customFormat="1" spans="1:3">
      <c r="A193" s="95">
        <v>0.27</v>
      </c>
      <c r="C193" s="5">
        <v>285</v>
      </c>
    </row>
    <row r="194" s="5" customFormat="1" spans="1:3">
      <c r="A194" s="95">
        <v>0.28</v>
      </c>
      <c r="C194" s="5">
        <v>290</v>
      </c>
    </row>
    <row r="195" s="5" customFormat="1" spans="1:3">
      <c r="A195" s="95">
        <v>0.29</v>
      </c>
      <c r="C195" s="5">
        <v>295</v>
      </c>
    </row>
    <row r="196" s="5" customFormat="1" spans="1:3">
      <c r="A196" s="95">
        <v>0.3</v>
      </c>
      <c r="C196" s="5">
        <v>300</v>
      </c>
    </row>
    <row r="197" s="5" customFormat="1" spans="1:3">
      <c r="A197" s="95">
        <v>0.31</v>
      </c>
      <c r="C197" s="5">
        <v>305</v>
      </c>
    </row>
    <row r="198" s="5" customFormat="1" spans="1:3">
      <c r="A198" s="95">
        <v>0.32</v>
      </c>
      <c r="C198" s="5">
        <v>310</v>
      </c>
    </row>
    <row r="199" s="5" customFormat="1" spans="1:3">
      <c r="A199" s="95">
        <v>0.33</v>
      </c>
      <c r="C199" s="5">
        <v>315</v>
      </c>
    </row>
    <row r="200" s="5" customFormat="1" spans="1:3">
      <c r="A200" s="95">
        <v>0.34</v>
      </c>
      <c r="C200" s="5">
        <v>320</v>
      </c>
    </row>
    <row r="201" s="5" customFormat="1" spans="1:3">
      <c r="A201" s="95">
        <v>0.35</v>
      </c>
      <c r="C201" s="5">
        <v>325</v>
      </c>
    </row>
    <row r="202" s="5" customFormat="1" spans="1:3">
      <c r="A202" s="95">
        <v>0.36</v>
      </c>
      <c r="C202" s="5">
        <v>330</v>
      </c>
    </row>
    <row r="203" s="5" customFormat="1" spans="1:3">
      <c r="A203" s="95">
        <v>0.37</v>
      </c>
      <c r="C203" s="5">
        <v>335</v>
      </c>
    </row>
    <row r="204" s="5" customFormat="1" spans="1:3">
      <c r="A204" s="95">
        <v>0.38</v>
      </c>
      <c r="C204" s="5">
        <v>340</v>
      </c>
    </row>
    <row r="205" s="5" customFormat="1" spans="1:3">
      <c r="A205" s="95">
        <v>0.39</v>
      </c>
      <c r="C205" s="5">
        <v>345</v>
      </c>
    </row>
    <row r="206" s="5" customFormat="1" spans="1:3">
      <c r="A206" s="95">
        <v>0.4</v>
      </c>
      <c r="C206" s="5">
        <v>350</v>
      </c>
    </row>
    <row r="207" s="5" customFormat="1" spans="1:3">
      <c r="A207" s="95">
        <v>0.41</v>
      </c>
      <c r="C207" s="5">
        <v>355</v>
      </c>
    </row>
    <row r="208" s="5" customFormat="1" spans="1:3">
      <c r="A208" s="95">
        <v>0.42</v>
      </c>
      <c r="C208" s="5">
        <v>360</v>
      </c>
    </row>
    <row r="209" s="5" customFormat="1" spans="1:3">
      <c r="A209" s="95">
        <v>0.43</v>
      </c>
      <c r="C209" s="5">
        <v>365</v>
      </c>
    </row>
    <row r="210" s="5" customFormat="1" spans="1:1">
      <c r="A210" s="95">
        <v>0.44</v>
      </c>
    </row>
    <row r="211" s="5" customFormat="1" spans="1:1">
      <c r="A211" s="95">
        <v>0.45</v>
      </c>
    </row>
    <row r="212" s="5" customFormat="1" spans="1:1">
      <c r="A212" s="95">
        <v>0.46</v>
      </c>
    </row>
    <row r="213" s="5" customFormat="1" spans="1:1">
      <c r="A213" s="95">
        <v>0.470000000000001</v>
      </c>
    </row>
    <row r="214" s="5" customFormat="1" spans="1:1">
      <c r="A214" s="95">
        <v>0.480000000000001</v>
      </c>
    </row>
    <row r="215" s="5" customFormat="1" spans="1:1">
      <c r="A215" s="95">
        <v>0.490000000000001</v>
      </c>
    </row>
    <row r="216" s="5" customFormat="1" spans="1:1">
      <c r="A216" s="95">
        <v>0.500000000000001</v>
      </c>
    </row>
    <row r="217" s="5" customFormat="1" spans="1:1">
      <c r="A217" s="95">
        <v>0.510000000000001</v>
      </c>
    </row>
    <row r="218" s="5" customFormat="1" spans="1:1">
      <c r="A218" s="95">
        <v>0.520000000000001</v>
      </c>
    </row>
    <row r="219" s="5" customFormat="1" spans="1:1">
      <c r="A219" s="95">
        <v>0.530000000000001</v>
      </c>
    </row>
    <row r="220" s="5" customFormat="1" spans="1:1">
      <c r="A220" s="95">
        <v>0.540000000000001</v>
      </c>
    </row>
    <row r="221" s="5" customFormat="1" spans="1:1">
      <c r="A221" s="95">
        <v>0.550000000000001</v>
      </c>
    </row>
    <row r="222" s="5" customFormat="1" spans="1:1">
      <c r="A222" s="95">
        <v>0.560000000000001</v>
      </c>
    </row>
    <row r="223" s="5" customFormat="1" spans="1:1">
      <c r="A223" s="95">
        <v>0.570000000000001</v>
      </c>
    </row>
    <row r="224" s="5" customFormat="1" spans="1:1">
      <c r="A224" s="95">
        <v>0.580000000000001</v>
      </c>
    </row>
    <row r="225" s="5" customFormat="1" spans="1:1">
      <c r="A225" s="95">
        <v>0.590000000000001</v>
      </c>
    </row>
    <row r="226" s="5" customFormat="1" spans="1:1">
      <c r="A226" s="95">
        <v>0.600000000000001</v>
      </c>
    </row>
    <row r="227" s="5" customFormat="1" spans="1:1">
      <c r="A227" s="95">
        <v>0.610000000000001</v>
      </c>
    </row>
    <row r="228" s="5" customFormat="1" spans="1:1">
      <c r="A228" s="95">
        <v>0.620000000000001</v>
      </c>
    </row>
    <row r="229" s="5" customFormat="1" spans="1:1">
      <c r="A229" s="95">
        <v>0.630000000000001</v>
      </c>
    </row>
    <row r="230" s="5" customFormat="1" spans="1:1">
      <c r="A230" s="95">
        <v>0.640000000000001</v>
      </c>
    </row>
    <row r="231" s="5" customFormat="1" spans="1:1">
      <c r="A231" s="95">
        <v>0.650000000000001</v>
      </c>
    </row>
    <row r="232" s="5" customFormat="1" spans="1:1">
      <c r="A232" s="95">
        <v>0.660000000000001</v>
      </c>
    </row>
    <row r="233" s="5" customFormat="1" spans="1:1">
      <c r="A233" s="95">
        <v>0.670000000000001</v>
      </c>
    </row>
    <row r="234" s="5" customFormat="1" spans="1:1">
      <c r="A234" s="95">
        <v>0.680000000000001</v>
      </c>
    </row>
    <row r="235" s="5" customFormat="1" spans="1:1">
      <c r="A235" s="95">
        <v>0.690000000000001</v>
      </c>
    </row>
    <row r="236" s="5" customFormat="1" spans="1:1">
      <c r="A236" s="95">
        <v>0.700000000000001</v>
      </c>
    </row>
    <row r="237" s="5" customFormat="1" spans="1:1">
      <c r="A237" s="95">
        <v>0.710000000000001</v>
      </c>
    </row>
    <row r="238" s="5" customFormat="1" spans="1:1">
      <c r="A238" s="95">
        <v>0.720000000000001</v>
      </c>
    </row>
    <row r="239" s="5" customFormat="1" spans="1:1">
      <c r="A239" s="95">
        <v>0.730000000000001</v>
      </c>
    </row>
    <row r="240" s="5" customFormat="1" spans="1:1">
      <c r="A240" s="95">
        <v>0.740000000000001</v>
      </c>
    </row>
    <row r="241" s="5" customFormat="1" spans="1:1">
      <c r="A241" s="95">
        <v>0.750000000000001</v>
      </c>
    </row>
    <row r="242" s="5" customFormat="1" spans="1:1">
      <c r="A242" s="95">
        <v>0.760000000000001</v>
      </c>
    </row>
    <row r="243" s="5" customFormat="1" spans="1:1">
      <c r="A243" s="95">
        <v>0.770000000000001</v>
      </c>
    </row>
    <row r="244" s="5" customFormat="1" spans="1:1">
      <c r="A244" s="95">
        <v>0.780000000000001</v>
      </c>
    </row>
    <row r="245" s="5" customFormat="1" spans="1:1">
      <c r="A245" s="95">
        <v>0.790000000000001</v>
      </c>
    </row>
    <row r="246" s="5" customFormat="1" spans="1:1">
      <c r="A246" s="95">
        <v>0.800000000000001</v>
      </c>
    </row>
    <row r="247" s="6" customFormat="1" spans="1:1">
      <c r="A247" s="95">
        <v>0.810000000000001</v>
      </c>
    </row>
    <row r="248" s="6" customFormat="1" spans="1:1">
      <c r="A248" s="95">
        <v>0.820000000000001</v>
      </c>
    </row>
    <row r="249" s="6" customFormat="1" spans="1:1">
      <c r="A249" s="95">
        <v>0.830000000000001</v>
      </c>
    </row>
    <row r="250" s="6" customFormat="1" spans="1:1">
      <c r="A250" s="95">
        <v>0.840000000000001</v>
      </c>
    </row>
    <row r="251" s="6" customFormat="1" spans="1:1">
      <c r="A251" s="95">
        <v>0.850000000000001</v>
      </c>
    </row>
    <row r="252" s="6" customFormat="1" spans="1:1">
      <c r="A252" s="95">
        <v>0.860000000000001</v>
      </c>
    </row>
    <row r="253" s="6" customFormat="1" spans="1:1">
      <c r="A253" s="95">
        <v>0.870000000000001</v>
      </c>
    </row>
    <row r="254" s="6" customFormat="1" spans="1:1">
      <c r="A254" s="95">
        <v>0.880000000000001</v>
      </c>
    </row>
    <row r="255" s="6" customFormat="1" spans="1:1">
      <c r="A255" s="95">
        <v>0.890000000000001</v>
      </c>
    </row>
    <row r="256" s="6" customFormat="1" spans="1:1">
      <c r="A256" s="95">
        <v>0.9</v>
      </c>
    </row>
    <row r="257" spans="1:1">
      <c r="A257" s="95">
        <v>0.91</v>
      </c>
    </row>
    <row r="258" spans="1:1">
      <c r="A258" s="95">
        <v>0.92</v>
      </c>
    </row>
    <row r="259" spans="1:1">
      <c r="A259" s="95">
        <v>0.93</v>
      </c>
    </row>
    <row r="260" spans="1:1">
      <c r="A260" s="95">
        <v>0.94</v>
      </c>
    </row>
    <row r="261" spans="1:1">
      <c r="A261" s="95">
        <v>0.95</v>
      </c>
    </row>
    <row r="262" spans="1:1">
      <c r="A262" s="95">
        <v>0.96</v>
      </c>
    </row>
    <row r="263" spans="1:1">
      <c r="A263" s="95">
        <v>0.97</v>
      </c>
    </row>
    <row r="264" spans="1:1">
      <c r="A264" s="95">
        <v>0.98</v>
      </c>
    </row>
    <row r="265" spans="1:1">
      <c r="A265" s="95">
        <v>0.99</v>
      </c>
    </row>
    <row r="266" spans="1:1">
      <c r="A266" s="95">
        <v>1</v>
      </c>
    </row>
    <row r="267" spans="1:1">
      <c r="A267" s="95">
        <v>1.05</v>
      </c>
    </row>
    <row r="268" spans="1:1">
      <c r="A268" s="95">
        <v>1.1</v>
      </c>
    </row>
    <row r="269" spans="1:1">
      <c r="A269" s="95">
        <v>1.15</v>
      </c>
    </row>
    <row r="270" spans="1:1">
      <c r="A270" s="95">
        <v>1.2</v>
      </c>
    </row>
    <row r="271" spans="1:1">
      <c r="A271" s="95">
        <v>1.25</v>
      </c>
    </row>
    <row r="272" spans="1:1">
      <c r="A272" s="95">
        <v>1.3</v>
      </c>
    </row>
    <row r="273" spans="1:1">
      <c r="A273" s="95">
        <v>1.35</v>
      </c>
    </row>
    <row r="274" spans="1:1">
      <c r="A274" s="95">
        <v>1.4</v>
      </c>
    </row>
    <row r="275" spans="1:1">
      <c r="A275" s="95">
        <v>1.45</v>
      </c>
    </row>
    <row r="276" spans="1:1">
      <c r="A276" s="95">
        <v>1.5</v>
      </c>
    </row>
  </sheetData>
  <sheetProtection password="CC3D" sheet="1" objects="1"/>
  <mergeCells count="162">
    <mergeCell ref="A1:X1"/>
    <mergeCell ref="S7:X7"/>
    <mergeCell ref="A9:C9"/>
    <mergeCell ref="S9:X9"/>
    <mergeCell ref="A10:C10"/>
    <mergeCell ref="S10:X10"/>
    <mergeCell ref="A11:C11"/>
    <mergeCell ref="S11:X11"/>
    <mergeCell ref="A12:C12"/>
    <mergeCell ref="S12:X12"/>
    <mergeCell ref="A13:C13"/>
    <mergeCell ref="S13:X13"/>
    <mergeCell ref="A14:C14"/>
    <mergeCell ref="S14:X14"/>
    <mergeCell ref="A15:C15"/>
    <mergeCell ref="S15:X15"/>
    <mergeCell ref="A16:C16"/>
    <mergeCell ref="S16:X16"/>
    <mergeCell ref="A17:C17"/>
    <mergeCell ref="S17:X17"/>
    <mergeCell ref="A18:C18"/>
    <mergeCell ref="S18:X18"/>
    <mergeCell ref="A19:C19"/>
    <mergeCell ref="S19:X19"/>
    <mergeCell ref="A20:C20"/>
    <mergeCell ref="S20:X20"/>
    <mergeCell ref="A21:C21"/>
    <mergeCell ref="S21:X21"/>
    <mergeCell ref="A22:C22"/>
    <mergeCell ref="S22:X22"/>
    <mergeCell ref="A23:C23"/>
    <mergeCell ref="S23:X23"/>
    <mergeCell ref="A24:C24"/>
    <mergeCell ref="S24:X24"/>
    <mergeCell ref="A25:C25"/>
    <mergeCell ref="S25:X25"/>
    <mergeCell ref="A26:C26"/>
    <mergeCell ref="S26:X26"/>
    <mergeCell ref="A27:C27"/>
    <mergeCell ref="S27:X27"/>
    <mergeCell ref="A28:C28"/>
    <mergeCell ref="S28:X28"/>
    <mergeCell ref="A29:C29"/>
    <mergeCell ref="S29:X29"/>
    <mergeCell ref="A30:C30"/>
    <mergeCell ref="S30:X30"/>
    <mergeCell ref="A31:C31"/>
    <mergeCell ref="S31:X31"/>
    <mergeCell ref="A32:C32"/>
    <mergeCell ref="A33:C33"/>
    <mergeCell ref="S33:X33"/>
    <mergeCell ref="A34:C34"/>
    <mergeCell ref="S34:X34"/>
    <mergeCell ref="A35:C35"/>
    <mergeCell ref="A36:C36"/>
    <mergeCell ref="S36:X36"/>
    <mergeCell ref="A37:C37"/>
    <mergeCell ref="A38:C38"/>
    <mergeCell ref="S38:X38"/>
    <mergeCell ref="A39:C39"/>
    <mergeCell ref="S39:X39"/>
    <mergeCell ref="A40:C40"/>
    <mergeCell ref="S40:X40"/>
    <mergeCell ref="A41:C41"/>
    <mergeCell ref="S41:X41"/>
    <mergeCell ref="A42:C42"/>
    <mergeCell ref="S42:X42"/>
    <mergeCell ref="A43:C43"/>
    <mergeCell ref="S43:X43"/>
    <mergeCell ref="A44:C44"/>
    <mergeCell ref="S44:X44"/>
    <mergeCell ref="A45:C45"/>
    <mergeCell ref="S45:X45"/>
    <mergeCell ref="A46:C46"/>
    <mergeCell ref="S46:X46"/>
    <mergeCell ref="A47:C47"/>
    <mergeCell ref="S47:X47"/>
    <mergeCell ref="A48:C48"/>
    <mergeCell ref="S48:X48"/>
    <mergeCell ref="A49:C49"/>
    <mergeCell ref="S49:X49"/>
    <mergeCell ref="A50:C50"/>
    <mergeCell ref="S50:X50"/>
    <mergeCell ref="A51:C51"/>
    <mergeCell ref="S51:X51"/>
    <mergeCell ref="A52:C52"/>
    <mergeCell ref="S52:X52"/>
    <mergeCell ref="A53:C53"/>
    <mergeCell ref="S53:X53"/>
    <mergeCell ref="A54:C54"/>
    <mergeCell ref="S54:X54"/>
    <mergeCell ref="A55:C55"/>
    <mergeCell ref="S55:X55"/>
    <mergeCell ref="R58:W58"/>
    <mergeCell ref="A59:C59"/>
    <mergeCell ref="R59:W59"/>
    <mergeCell ref="A60:C60"/>
    <mergeCell ref="R60:W60"/>
    <mergeCell ref="A61:C61"/>
    <mergeCell ref="R61:W61"/>
    <mergeCell ref="A62:C62"/>
    <mergeCell ref="R62:W62"/>
    <mergeCell ref="A63:C63"/>
    <mergeCell ref="R63:W63"/>
    <mergeCell ref="A64:C64"/>
    <mergeCell ref="R64:W64"/>
    <mergeCell ref="R65:W65"/>
    <mergeCell ref="R66:W66"/>
    <mergeCell ref="A67:C67"/>
    <mergeCell ref="R67:W67"/>
    <mergeCell ref="A68:C68"/>
    <mergeCell ref="R68:W68"/>
    <mergeCell ref="A69:C69"/>
    <mergeCell ref="R69:W69"/>
    <mergeCell ref="A70:C70"/>
    <mergeCell ref="R70:W70"/>
    <mergeCell ref="A71:C71"/>
    <mergeCell ref="R71:W71"/>
    <mergeCell ref="A72:C72"/>
    <mergeCell ref="R72:W72"/>
    <mergeCell ref="A78:Q78"/>
    <mergeCell ref="A79:W79"/>
    <mergeCell ref="A80:W80"/>
    <mergeCell ref="A81:W81"/>
    <mergeCell ref="A82:W82"/>
    <mergeCell ref="A83:W83"/>
    <mergeCell ref="A84:W84"/>
    <mergeCell ref="A85:W85"/>
    <mergeCell ref="A86:W86"/>
    <mergeCell ref="A87:W87"/>
    <mergeCell ref="A88:W88"/>
    <mergeCell ref="A89:W89"/>
    <mergeCell ref="A90:W90"/>
    <mergeCell ref="A91:W91"/>
    <mergeCell ref="A92:W92"/>
    <mergeCell ref="A93:W93"/>
    <mergeCell ref="A94:W94"/>
    <mergeCell ref="A95:W95"/>
    <mergeCell ref="A96:W96"/>
    <mergeCell ref="A97:W97"/>
    <mergeCell ref="A98:W98"/>
    <mergeCell ref="A99:W99"/>
    <mergeCell ref="A100:W100"/>
    <mergeCell ref="A101:W101"/>
    <mergeCell ref="A102:W102"/>
    <mergeCell ref="A103:W103"/>
    <mergeCell ref="A104:W104"/>
    <mergeCell ref="A105:W105"/>
    <mergeCell ref="A106:W106"/>
    <mergeCell ref="A107:W107"/>
    <mergeCell ref="A108:W108"/>
    <mergeCell ref="A109:W109"/>
    <mergeCell ref="A110:W110"/>
    <mergeCell ref="A111:W111"/>
    <mergeCell ref="A112:W112"/>
    <mergeCell ref="A113:W113"/>
    <mergeCell ref="A114:W114"/>
    <mergeCell ref="A115:W115"/>
    <mergeCell ref="A116:W116"/>
    <mergeCell ref="A117:W117"/>
    <mergeCell ref="A118:W118"/>
    <mergeCell ref="A120:X120"/>
  </mergeCells>
  <conditionalFormatting sqref="E71">
    <cfRule type="cellIs" dxfId="0" priority="1" operator="equal">
      <formula>"Error"</formula>
    </cfRule>
  </conditionalFormatting>
  <conditionalFormatting sqref="F71:Q72">
    <cfRule type="cellIs" dxfId="0" priority="2" operator="equal">
      <formula>"Error"</formula>
    </cfRule>
  </conditionalFormatting>
  <dataValidations count="4">
    <dataValidation type="list" allowBlank="1" showInputMessage="1" showErrorMessage="1" sqref="R9">
      <formula1>$B$136:$B$155</formula1>
    </dataValidation>
    <dataValidation type="list" allowBlank="1" showInputMessage="1" showErrorMessage="1" sqref="R10">
      <formula1>$B$136:$B$156</formula1>
    </dataValidation>
    <dataValidation type="list" allowBlank="1" showInputMessage="1" showErrorMessage="1" sqref="R31 R38">
      <formula1>$A$166:$A$196</formula1>
    </dataValidation>
    <dataValidation type="list" allowBlank="1" showInputMessage="1" showErrorMessage="1" sqref="F33:Q33">
      <formula1>$D$136:$D$152</formula1>
    </dataValidation>
  </dataValidations>
  <printOptions headings="1"/>
  <pageMargins left="0.196527777777778" right="0.236111111111111" top="0.511805555555556" bottom="0.747916666666667" header="0.511805555555556" footer="0.354166666666667"/>
  <pageSetup paperSize="9" scale="56" fitToHeight="0" orientation="landscape" errors="dash" horizontalDpi="600"/>
  <headerFooter alignWithMargins="0">
    <oddFooter>&amp;LDSR Cash Flow Forecast (202411 version)&amp;R&amp;P/&amp;N</oddFooter>
  </headerFooter>
</worksheet>
</file>

<file path=docProps/app.xml><?xml version="1.0" encoding="utf-8"?>
<Properties xmlns="http://schemas.openxmlformats.org/officeDocument/2006/extended-properties" xmlns:vt="http://schemas.openxmlformats.org/officeDocument/2006/docPropsVTypes">
  <Company>ICBC (Asia)</Company>
  <Application>Microsoft Excel</Application>
  <HeadingPairs>
    <vt:vector size="2" baseType="variant">
      <vt:variant>
        <vt:lpstr>工作表</vt:lpstr>
      </vt:variant>
      <vt:variant>
        <vt:i4>2</vt:i4>
      </vt:variant>
    </vt:vector>
  </HeadingPairs>
  <TitlesOfParts>
    <vt:vector size="2" baseType="lpstr">
      <vt:lpstr>OIC input for DSR cal</vt:lpstr>
      <vt:lpstr>OIC input for cashflow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ICBC (Asia)</dc:creator>
  <cp:lastModifiedBy>User</cp:lastModifiedBy>
  <dcterms:created xsi:type="dcterms:W3CDTF">2014-10-30T02:00:00Z</dcterms:created>
  <cp:lastPrinted>2017-11-13T08:12:00Z</cp:lastPrinted>
  <dcterms:modified xsi:type="dcterms:W3CDTF">2025-11-28T14:02:20Z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y fmtid="{D5CDD505-2E9C-101B-9397-08002B2CF9AE}" pid="3" name="ICV">
    <vt:lpwstr>44C8D4D1EE0C4C8B853A7967A80BEE39</vt:lpwstr>
  </property>
</Properties>
</file>